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yu/Documents/notes/topics/santongli/"/>
    </mc:Choice>
  </mc:AlternateContent>
  <xr:revisionPtr revIDLastSave="0" documentId="13_ncr:1_{4CCA03AB-568A-094C-9912-DEE3115F8747}" xr6:coauthVersionLast="47" xr6:coauthVersionMax="47" xr10:uidLastSave="{00000000-0000-0000-0000-000000000000}"/>
  <bookViews>
    <workbookView xWindow="17040" yWindow="700" windowWidth="10000" windowHeight="16860" activeTab="1" xr2:uid="{ABE69842-9C27-004A-B8EB-CC4C8A16488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11" i="4"/>
  <c r="D13" i="4"/>
  <c r="D43" i="4"/>
  <c r="D49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78" i="4"/>
  <c r="D4" i="4"/>
  <c r="D5" i="4"/>
  <c r="D6" i="4"/>
  <c r="D7" i="4"/>
  <c r="D8" i="4"/>
  <c r="D9" i="4"/>
  <c r="D10" i="4"/>
  <c r="D12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4" i="4"/>
  <c r="D45" i="4"/>
  <c r="D46" i="4"/>
  <c r="D47" i="4"/>
  <c r="D48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B65" i="2"/>
</calcChain>
</file>

<file path=xl/sharedStrings.xml><?xml version="1.0" encoding="utf-8"?>
<sst xmlns="http://schemas.openxmlformats.org/spreadsheetml/2006/main" count="1021" uniqueCount="821">
  <si>
    <t>日法</t>
  </si>
  <si>
    <t>統法</t>
  </si>
  <si>
    <t>元法</t>
  </si>
  <si>
    <t>會數</t>
  </si>
  <si>
    <t>章月</t>
  </si>
  <si>
    <t>月法</t>
  </si>
  <si>
    <t>通法</t>
  </si>
  <si>
    <t>中法</t>
  </si>
  <si>
    <t>周天</t>
  </si>
  <si>
    <t>歲中</t>
  </si>
  <si>
    <t>月周</t>
  </si>
  <si>
    <t>朔望之會</t>
  </si>
  <si>
    <t>會月</t>
  </si>
  <si>
    <t>統月</t>
  </si>
  <si>
    <t>元月</t>
  </si>
  <si>
    <t>章中</t>
  </si>
  <si>
    <t>統中</t>
  </si>
  <si>
    <t>元中</t>
  </si>
  <si>
    <t>策餘</t>
  </si>
  <si>
    <t>周至</t>
  </si>
  <si>
    <t>元始黃鐘初九自乘，一龠之數，得日法。</t>
  </si>
  <si>
    <t>以閏法乘日法，得統法。</t>
  </si>
  <si>
    <t>參統法，得元法。</t>
  </si>
  <si>
    <t>參天九，兩地十，得會數。</t>
  </si>
  <si>
    <t>五位乘會數，得章月。</t>
  </si>
  <si>
    <t>推大衍象，得月法。</t>
  </si>
  <si>
    <t>四分月法，得通法。</t>
  </si>
  <si>
    <t>以章月乘通法，得中法。</t>
  </si>
  <si>
    <t>以章月乘月法，得周天。</t>
  </si>
  <si>
    <t>十二</t>
  </si>
  <si>
    <t>以三統乘四時，得歲中。</t>
  </si>
  <si>
    <t>以章月加閏法，得月周。</t>
  </si>
  <si>
    <t>參天數二十五，兩地數三十，得朔望之會。</t>
  </si>
  <si>
    <t>以會數乘朔望之會，得會月。</t>
  </si>
  <si>
    <t>參會月，得統月。</t>
  </si>
  <si>
    <t>參統月，得元月。</t>
  </si>
  <si>
    <t>以閏法乘歲中，得章中。</t>
  </si>
  <si>
    <t>以日法乘章中，得統中。</t>
  </si>
  <si>
    <t>參統中，得元中。</t>
  </si>
  <si>
    <t>什乘元中，以減周天，得策餘。</t>
  </si>
  <si>
    <t>參閏法，得周至。</t>
  </si>
  <si>
    <t>統母</t>
  </si>
  <si>
    <t>數值</t>
  </si>
  <si>
    <t>律曆志定義</t>
  </si>
  <si>
    <t>定義</t>
  </si>
  <si>
    <t>一日分爲 81 分</t>
  </si>
  <si>
    <t>19 歲一章，一章 7 閏</t>
  </si>
  <si>
    <t>一統的年數</t>
  </si>
  <si>
    <t>一元的年數</t>
  </si>
  <si>
    <t>每年的中氣數</t>
  </si>
  <si>
    <t>每章歲的中氣數</t>
  </si>
  <si>
    <t>每統歲的中氣數</t>
  </si>
  <si>
    <t>每元歲的中氣數</t>
  </si>
  <si>
    <t>一月日數</t>
  </si>
  <si>
    <t>一章中月行週期數</t>
  </si>
  <si>
    <t>月食週期</t>
  </si>
  <si>
    <t>日月運行合併週期</t>
  </si>
  <si>
    <t>三章的年數</t>
  </si>
  <si>
    <t>47 個月食週期等於 27 個日月運行週期</t>
  </si>
  <si>
    <t>一會數的總月數</t>
  </si>
  <si>
    <t>一統的總月數</t>
  </si>
  <si>
    <t>一元的總月數</t>
  </si>
  <si>
    <t>一元中每個中氣的總日數</t>
  </si>
  <si>
    <t>一年長度與每年中氣總數的差</t>
  </si>
  <si>
    <t>月法與中法的公約數</t>
  </si>
  <si>
    <t>星紀</t>
  </si>
  <si>
    <t>初斗十二度</t>
  </si>
  <si>
    <t>大雪</t>
  </si>
  <si>
    <t>中牽牛初</t>
  </si>
  <si>
    <t>冬至</t>
  </si>
  <si>
    <t>終於婺女七度</t>
  </si>
  <si>
    <t>玄枵</t>
  </si>
  <si>
    <t>初婺女八度</t>
  </si>
  <si>
    <t>小寒</t>
  </si>
  <si>
    <t>中危初</t>
  </si>
  <si>
    <t>大寒</t>
  </si>
  <si>
    <t>終於危十五度</t>
  </si>
  <si>
    <t>諏訾</t>
  </si>
  <si>
    <t>初危十六度</t>
  </si>
  <si>
    <t>立春</t>
  </si>
  <si>
    <t>中營室十四度</t>
  </si>
  <si>
    <t>驚蟄</t>
  </si>
  <si>
    <t>終於奎四度</t>
  </si>
  <si>
    <t>降婁</t>
  </si>
  <si>
    <t>初奎五度</t>
  </si>
  <si>
    <t>雨水</t>
  </si>
  <si>
    <t>中婁四度</t>
  </si>
  <si>
    <t>春分</t>
  </si>
  <si>
    <t>終於胃六度</t>
  </si>
  <si>
    <t>大梁</t>
  </si>
  <si>
    <t>初胃七度</t>
  </si>
  <si>
    <t>穀雨</t>
  </si>
  <si>
    <t>中昴八度</t>
  </si>
  <si>
    <t>清明</t>
  </si>
  <si>
    <t>終於畢十一度</t>
  </si>
  <si>
    <t>立夏</t>
  </si>
  <si>
    <t>中井初</t>
  </si>
  <si>
    <t>小滿</t>
  </si>
  <si>
    <t>終於井十五度</t>
  </si>
  <si>
    <t>鶉首</t>
  </si>
  <si>
    <t>初井十六度</t>
  </si>
  <si>
    <t>芒種</t>
  </si>
  <si>
    <t>中井三十一度</t>
  </si>
  <si>
    <t>夏至</t>
  </si>
  <si>
    <t>終於柳八度</t>
  </si>
  <si>
    <t>鶉火</t>
  </si>
  <si>
    <t>初柳九度</t>
  </si>
  <si>
    <t>小暑</t>
  </si>
  <si>
    <t>中張三度</t>
  </si>
  <si>
    <t>大暑</t>
  </si>
  <si>
    <t>終於張十七度</t>
  </si>
  <si>
    <t>鶉尾</t>
  </si>
  <si>
    <t>初張十八度</t>
  </si>
  <si>
    <t>立秋</t>
  </si>
  <si>
    <t>中翼十五度</t>
  </si>
  <si>
    <t>處暑</t>
  </si>
  <si>
    <t>終於軫十一度</t>
  </si>
  <si>
    <t>壽星</t>
  </si>
  <si>
    <t>初軫十二度</t>
  </si>
  <si>
    <t>白露</t>
  </si>
  <si>
    <t>中角十度</t>
  </si>
  <si>
    <t>秋分</t>
  </si>
  <si>
    <t>終於氐四度</t>
  </si>
  <si>
    <t>大火</t>
  </si>
  <si>
    <t>初氐五度</t>
  </si>
  <si>
    <t>寒露</t>
  </si>
  <si>
    <t>中房五度</t>
  </si>
  <si>
    <t>霜降</t>
  </si>
  <si>
    <t>終於尾九度</t>
  </si>
  <si>
    <t>析木</t>
  </si>
  <si>
    <t>初尾十度</t>
  </si>
  <si>
    <t>立冬</t>
  </si>
  <si>
    <t>中箕七度</t>
  </si>
  <si>
    <t>小雪</t>
  </si>
  <si>
    <t>終於斗十一度</t>
  </si>
  <si>
    <t>十二次</t>
  </si>
  <si>
    <t>初畢十二度</t>
  </si>
  <si>
    <t>實沈</t>
  </si>
  <si>
    <t>總度數</t>
  </si>
  <si>
    <t>$30\frac{1}{4}$</t>
  </si>
  <si>
    <t>初度數</t>
  </si>
  <si>
    <t>終度數</t>
  </si>
  <si>
    <t>中度數</t>
  </si>
  <si>
    <t>0 甲子</t>
  </si>
  <si>
    <t>1 乙丑</t>
  </si>
  <si>
    <t>2 丙寅</t>
  </si>
  <si>
    <t>3 丁卯</t>
  </si>
  <si>
    <t>4 戊辰</t>
  </si>
  <si>
    <t>5 己巳</t>
  </si>
  <si>
    <t>6 庚午</t>
  </si>
  <si>
    <t>7 辛未</t>
  </si>
  <si>
    <t>8 壬申</t>
  </si>
  <si>
    <t>9 癸酉</t>
  </si>
  <si>
    <t>10 甲戌</t>
  </si>
  <si>
    <t>11 乙亥</t>
  </si>
  <si>
    <t>12 丙子</t>
  </si>
  <si>
    <t>13 丁丑</t>
  </si>
  <si>
    <t>14 戊寅</t>
  </si>
  <si>
    <t>15 己卯</t>
  </si>
  <si>
    <t>16 庚辰</t>
  </si>
  <si>
    <t>17 辛巳</t>
  </si>
  <si>
    <t>18 壬午</t>
  </si>
  <si>
    <t>19 癸未</t>
  </si>
  <si>
    <t>20 甲申</t>
  </si>
  <si>
    <t>21 乙酉</t>
  </si>
  <si>
    <t>22 丙戌</t>
  </si>
  <si>
    <t>23 丁亥</t>
  </si>
  <si>
    <t>24 戊子</t>
  </si>
  <si>
    <t>25 己丑</t>
  </si>
  <si>
    <t>26 庚寅</t>
  </si>
  <si>
    <t>27 辛卯</t>
  </si>
  <si>
    <t>28 壬辰</t>
  </si>
  <si>
    <t>29 癸巳</t>
  </si>
  <si>
    <t>30 甲午</t>
  </si>
  <si>
    <t>31 乙未</t>
  </si>
  <si>
    <t>32 丙申</t>
  </si>
  <si>
    <t>33 丁酉</t>
  </si>
  <si>
    <t>34 戊戌</t>
  </si>
  <si>
    <t>35 己亥</t>
  </si>
  <si>
    <t>36 庚子</t>
  </si>
  <si>
    <t>37 辛丑</t>
  </si>
  <si>
    <t>38 壬寅</t>
  </si>
  <si>
    <t>39 癸卯</t>
  </si>
  <si>
    <t>40 甲辰</t>
  </si>
  <si>
    <t>41 乙巳</t>
  </si>
  <si>
    <t>42 丙午</t>
  </si>
  <si>
    <t>43 丁未</t>
  </si>
  <si>
    <t>44 戊申</t>
  </si>
  <si>
    <t>45 己酉</t>
  </si>
  <si>
    <t>46 庚戌</t>
  </si>
  <si>
    <t>47 辛亥</t>
  </si>
  <si>
    <t>48 壬子</t>
  </si>
  <si>
    <t>49 癸丑</t>
  </si>
  <si>
    <t>50 甲寅</t>
  </si>
  <si>
    <t>51 乙卯</t>
  </si>
  <si>
    <t>52 丙辰</t>
  </si>
  <si>
    <t>53 丁巳</t>
  </si>
  <si>
    <t>54 戊午</t>
  </si>
  <si>
    <t>55 己未</t>
  </si>
  <si>
    <t>56 庚申</t>
  </si>
  <si>
    <t>57 辛酉</t>
  </si>
  <si>
    <t>58 壬戌</t>
  </si>
  <si>
    <t>59 癸亥</t>
  </si>
  <si>
    <t>角</t>
  </si>
  <si>
    <t>亢</t>
  </si>
  <si>
    <t>九</t>
  </si>
  <si>
    <t>氐</t>
  </si>
  <si>
    <t>十五</t>
  </si>
  <si>
    <t>房</t>
  </si>
  <si>
    <t>五</t>
  </si>
  <si>
    <t>心</t>
  </si>
  <si>
    <t>尾</t>
  </si>
  <si>
    <t>十八</t>
  </si>
  <si>
    <t>箕</t>
  </si>
  <si>
    <t>十一</t>
  </si>
  <si>
    <t>東</t>
  </si>
  <si>
    <t>七十五度</t>
  </si>
  <si>
    <t>斗</t>
  </si>
  <si>
    <t>二十六</t>
  </si>
  <si>
    <t>牛</t>
  </si>
  <si>
    <t>八</t>
  </si>
  <si>
    <t>女</t>
  </si>
  <si>
    <t>虛</t>
  </si>
  <si>
    <t>十</t>
  </si>
  <si>
    <t>危</t>
  </si>
  <si>
    <t>十七</t>
  </si>
  <si>
    <t>壁</t>
  </si>
  <si>
    <t>北</t>
  </si>
  <si>
    <t>九十八度</t>
  </si>
  <si>
    <t>奎</t>
  </si>
  <si>
    <t>十六</t>
  </si>
  <si>
    <t>婁</t>
  </si>
  <si>
    <t>胃</t>
  </si>
  <si>
    <t>十四</t>
  </si>
  <si>
    <t>昴</t>
  </si>
  <si>
    <t>畢</t>
  </si>
  <si>
    <t>觜</t>
  </si>
  <si>
    <t>二</t>
  </si>
  <si>
    <t>參</t>
  </si>
  <si>
    <t>西</t>
  </si>
  <si>
    <t>八十度</t>
  </si>
  <si>
    <t>井</t>
  </si>
  <si>
    <t>三十三</t>
  </si>
  <si>
    <t>鬼</t>
  </si>
  <si>
    <t>四</t>
  </si>
  <si>
    <t>柳</t>
  </si>
  <si>
    <t>星</t>
  </si>
  <si>
    <t>七</t>
  </si>
  <si>
    <t>張</t>
  </si>
  <si>
    <t>翼</t>
  </si>
  <si>
    <t>軫</t>
  </si>
  <si>
    <t>南</t>
  </si>
  <si>
    <t>百一十二度</t>
  </si>
  <si>
    <t>距度</t>
  </si>
  <si>
    <t>南方七宿</t>
  </si>
  <si>
    <t>西方七宿</t>
  </si>
  <si>
    <t>北方七宿</t>
  </si>
  <si>
    <t>東方七宿</t>
  </si>
  <si>
    <t>木星</t>
  </si>
  <si>
    <t>歲星</t>
  </si>
  <si>
    <t>鎮星</t>
  </si>
  <si>
    <t>熒惑</t>
  </si>
  <si>
    <t>辰星</t>
  </si>
  <si>
    <t>太白</t>
  </si>
  <si>
    <t>歲數</t>
  </si>
  <si>
    <t>積中</t>
  </si>
  <si>
    <t>中餘</t>
  </si>
  <si>
    <t>見中法</t>
  </si>
  <si>
    <t>見閏分</t>
  </si>
  <si>
    <t>積月</t>
  </si>
  <si>
    <t>月餘</t>
  </si>
  <si>
    <t>見月法</t>
  </si>
  <si>
    <t>見中日法</t>
  </si>
  <si>
    <t>見月日法</t>
  </si>
  <si>
    <t>晨中分</t>
  </si>
  <si>
    <t>夕中分</t>
  </si>
  <si>
    <t>晨閏分</t>
  </si>
  <si>
    <t>夕閏分</t>
  </si>
  <si>
    <t>小周</t>
  </si>
  <si>
    <t>見中分</t>
  </si>
  <si>
    <t>合天地終數，得閏法。因爲章歲</t>
  </si>
  <si>
    <t>一統的日數，以 81 爲分母</t>
  </si>
  <si>
    <t>統術</t>
  </si>
  <si>
    <t>推日月元統</t>
  </si>
  <si>
    <t>推正月朔</t>
  </si>
  <si>
    <t>推五行</t>
  </si>
  <si>
    <t>推合晨所在星</t>
  </si>
  <si>
    <t>推其日夜半所在星</t>
  </si>
  <si>
    <t>推其月夜半所在星</t>
  </si>
  <si>
    <t>推諸加時</t>
  </si>
  <si>
    <t>推月食</t>
  </si>
  <si>
    <t>所求</t>
  </si>
  <si>
    <t>積日、積日小餘</t>
  </si>
  <si>
    <t>營室</t>
  </si>
  <si>
    <t>已知數</t>
  </si>
  <si>
    <t>所求數</t>
  </si>
  <si>
    <t>入統歲數</t>
  </si>
  <si>
    <t>統數，入統歲數</t>
  </si>
  <si>
    <t>積月、閏餘</t>
  </si>
  <si>
    <t>所用常數</t>
  </si>
  <si>
    <t>元法、統法</t>
  </si>
  <si>
    <t>章月、章歲</t>
  </si>
  <si>
    <t>月法、日法</t>
  </si>
  <si>
    <t>月法、日法、統首日</t>
  </si>
  <si>
    <t>閏餘</t>
  </si>
  <si>
    <t>積日、積日小餘、朔日干支</t>
  </si>
  <si>
    <t>策餘、統法、統首日</t>
  </si>
  <si>
    <t>冬至大餘、冬至小餘、冬至干支</t>
  </si>
  <si>
    <t>統法（歲）</t>
  </si>
  <si>
    <t>統法、周天</t>
  </si>
  <si>
    <t>月小餘（積日小餘）、合晨度</t>
  </si>
  <si>
    <t>合晨度</t>
  </si>
  <si>
    <t>閏法/章歲</t>
  </si>
  <si>
    <t>月周、統法</t>
  </si>
  <si>
    <t>章歲、統法</t>
  </si>
  <si>
    <t>日夜半星度</t>
  </si>
  <si>
    <t>月夜半星度</t>
  </si>
  <si>
    <t>小餘、各盈分母</t>
  </si>
  <si>
    <t>加辰</t>
  </si>
  <si>
    <t>公式</t>
  </si>
  <si>
    <t>$n \ \mathbf{mod}\ \text{元法}\ \mathbf{mod}\ \text{統法}$</t>
  </si>
  <si>
    <t>太極上元以來年數</t>
  </si>
  <si>
    <t>推天正</t>
  </si>
  <si>
    <t>推閏餘</t>
  </si>
  <si>
    <t>推冬至</t>
  </si>
  <si>
    <t>$\text{積月} = n \times \text{章月} \ \mathbf{div}\ \text{章歲}$\ $\text{閏餘} = n \times \text{章月} \ \mathbf{mod}\ \text{章歲}$</t>
  </si>
  <si>
    <t>$\text{積日}=\text{積月} \times \text{月法} \ \mathbf{div}\ \text{日法}$\ $\text{積日小餘}=\text{積月} \times \text{月法} \ \mathbf{mod}\ \text{日法}$\ $\text{積日大餘}=\text{積日} \ \mathbf{mod}\ \text{60}$</t>
  </si>
  <si>
    <t>0 冬至</t>
  </si>
  <si>
    <t>1 小寒</t>
  </si>
  <si>
    <t>2 大寒</t>
  </si>
  <si>
    <t>3 立春</t>
  </si>
  <si>
    <t>4 驚蟄</t>
  </si>
  <si>
    <t>5 雨水</t>
  </si>
  <si>
    <t>6 春分</t>
  </si>
  <si>
    <t>7 穀雨</t>
  </si>
  <si>
    <t>8 清明</t>
  </si>
  <si>
    <t>9 立夏</t>
  </si>
  <si>
    <t>10 小滿</t>
  </si>
  <si>
    <t>11 芒種</t>
  </si>
  <si>
    <t>12 夏至</t>
  </si>
  <si>
    <t>13 小暑</t>
  </si>
  <si>
    <t>14 大暑</t>
  </si>
  <si>
    <t>15 立秋</t>
  </si>
  <si>
    <t>16 處暑</t>
  </si>
  <si>
    <t>17 白露</t>
  </si>
  <si>
    <t>18 秋分</t>
  </si>
  <si>
    <t>19 寒露</t>
  </si>
  <si>
    <t>20 霜降</t>
  </si>
  <si>
    <t>21 立冬</t>
  </si>
  <si>
    <t>22 小雪</t>
  </si>
  <si>
    <t>23 大雪</t>
  </si>
  <si>
    <t>春</t>
  </si>
  <si>
    <t>夏</t>
  </si>
  <si>
    <t>秋</t>
  </si>
  <si>
    <t>冬</t>
  </si>
  <si>
    <t>x</t>
  </si>
  <si>
    <t xml:space="preserve">入統歲數 </t>
  </si>
  <si>
    <t>n</t>
  </si>
  <si>
    <t xml:space="preserve">積月 </t>
  </si>
  <si>
    <t>j</t>
  </si>
  <si>
    <t>u</t>
  </si>
  <si>
    <t xml:space="preserve">積日 </t>
  </si>
  <si>
    <t>r</t>
  </si>
  <si>
    <t xml:space="preserve">積日小餘 </t>
  </si>
  <si>
    <t>y</t>
  </si>
  <si>
    <t>紀術</t>
  </si>
  <si>
    <t>推五星見復</t>
  </si>
  <si>
    <t>推星所見中次</t>
  </si>
  <si>
    <t>推星見月</t>
  </si>
  <si>
    <t>推至日</t>
  </si>
  <si>
    <t>推朔日</t>
  </si>
  <si>
    <t>推入中次日度數</t>
  </si>
  <si>
    <t>推入月日數</t>
  </si>
  <si>
    <t>推後見中</t>
  </si>
  <si>
    <t>推後見月</t>
  </si>
  <si>
    <t>推至日及入中次度數</t>
  </si>
  <si>
    <t>推朔日及入月數</t>
  </si>
  <si>
    <t>推晨見加夕</t>
  </si>
  <si>
    <t>推五步</t>
  </si>
  <si>
    <t>常數</t>
  </si>
  <si>
    <t>歲數、見中法</t>
  </si>
  <si>
    <t>距上元年數</t>
  </si>
  <si>
    <t>定見復數</t>
  </si>
  <si>
    <t>見復餘、定見復數</t>
  </si>
  <si>
    <t>見中法、見中分、元中、章中</t>
  </si>
  <si>
    <t>章歲、中餘、見月法、積中、元月、章月</t>
  </si>
  <si>
    <t>星所見月</t>
  </si>
  <si>
    <t>中元餘</t>
  </si>
  <si>
    <t>中法、元法</t>
  </si>
  <si>
    <t>月元餘</t>
  </si>
  <si>
    <t>星見月朔日</t>
  </si>
  <si>
    <t>運行軌跡</t>
  </si>
  <si>
    <t>日數</t>
  </si>
  <si>
    <t>日行度數</t>
  </si>
  <si>
    <t>晨始見</t>
  </si>
  <si>
    <t>順行</t>
  </si>
  <si>
    <t>留</t>
  </si>
  <si>
    <t>逆行</t>
  </si>
  <si>
    <t>伏</t>
  </si>
  <si>
    <t>一見</t>
  </si>
  <si>
    <t>日行</t>
  </si>
  <si>
    <t>$\frac{2}{11}$</t>
  </si>
  <si>
    <t>$\frac{1}{7}$</t>
  </si>
  <si>
    <t>$\frac{145}{1728}$</t>
  </si>
  <si>
    <t>$24 \frac{3}{7308711}$</t>
  </si>
  <si>
    <t>$111 \frac{1828362}{7308711}$</t>
  </si>
  <si>
    <t>$398 \frac{5163012}{7308711}$</t>
  </si>
  <si>
    <t>$33 \frac{3330737}{7308711}$</t>
  </si>
  <si>
    <t>$3 \frac{1673451}{7308711}$</t>
  </si>
  <si>
    <t>$33 \frac{3334737}{7308711}$</t>
  </si>
  <si>
    <t>土星</t>
  </si>
  <si>
    <t>火星</t>
  </si>
  <si>
    <t>$33 \frac{862455}{19275975}$</t>
  </si>
  <si>
    <t>$37 \frac{17170170}{19275975}$</t>
  </si>
  <si>
    <t>$377 \frac{18032625}{19275975}$</t>
  </si>
  <si>
    <t>$\frac{1}{15}$</t>
  </si>
  <si>
    <t>$\frac{5}{81}$</t>
  </si>
  <si>
    <t>$7 \frac{8736570}{19275975}$</t>
  </si>
  <si>
    <t>$12 \frac{13210500}{19275975}$</t>
  </si>
  <si>
    <t>$\frac{145}{4320}$</t>
  </si>
  <si>
    <t>$146 \frac{15689700}{29867373}$</t>
  </si>
  <si>
    <t>$780 \frac{15689700}{29867373}$</t>
  </si>
  <si>
    <t>$\frac{53}{92}$</t>
  </si>
  <si>
    <t>$\frac{17}{62}$</t>
  </si>
  <si>
    <t>$114 \frac{8218005}{29867373}$</t>
  </si>
  <si>
    <t>$415 \frac{8218005}{29867373}$</t>
  </si>
  <si>
    <t>$\frac{7355}{13824}$</t>
  </si>
  <si>
    <t>金星</t>
  </si>
  <si>
    <t>水星</t>
  </si>
  <si>
    <t>始留</t>
  </si>
  <si>
    <t>順行疾</t>
  </si>
  <si>
    <t>晨見伏</t>
  </si>
  <si>
    <t>夕始見</t>
  </si>
  <si>
    <t>順行遲</t>
  </si>
  <si>
    <t>伏逆</t>
  </si>
  <si>
    <t>夕見伏</t>
  </si>
  <si>
    <t>一復</t>
  </si>
  <si>
    <t>$\frac{1}{2}$</t>
  </si>
  <si>
    <t>$\frac{33}{46}$</t>
  </si>
  <si>
    <t>$1 \frac{15}{92}$</t>
  </si>
  <si>
    <t>$1 \frac{33}{92}$</t>
  </si>
  <si>
    <t>$357 \frac{4365220}{9977337}$</t>
  </si>
  <si>
    <t>$14 \frac{3069868}{9977337}$</t>
  </si>
  <si>
    <t>$226 \frac{6907649}{9977337}$</t>
  </si>
  <si>
    <t>$584 \frac{1295352}{9977337}$</t>
  </si>
  <si>
    <t>$37 \frac{122029605}{134082297}$</t>
  </si>
  <si>
    <t>$65 \frac{122029605}{134082297}$</t>
  </si>
  <si>
    <t>$16 \frac{1}{2}$</t>
  </si>
  <si>
    <t>$1 \frac{1}{2}$</t>
  </si>
  <si>
    <t>$115 \frac{122029605}{134082297}$</t>
  </si>
  <si>
    <t>$\frac{6}{7}$</t>
  </si>
  <si>
    <t>$1 \frac{1}{3}$</t>
  </si>
  <si>
    <t>$1 \frac{7}{9}$</t>
  </si>
  <si>
    <t>$96 \frac{46610128}{134082297}$</t>
  </si>
  <si>
    <t>$6 \frac{58662820}{134082297}$</t>
  </si>
  <si>
    <t>$19 \frac{15419477}{134082297}$</t>
  </si>
  <si>
    <t>$\frac{122029605}{134082297}$</t>
  </si>
  <si>
    <t>$181 \frac{45}{107}$</t>
  </si>
  <si>
    <t>$7 \frac{62}{107}$</t>
  </si>
  <si>
    <t>$16 \frac{1295352}{9977337}$</t>
  </si>
  <si>
    <t>$584 \frac{1295353}{9977337}$</t>
  </si>
  <si>
    <t>$257 \frac{1295353}{9977337}$</t>
  </si>
  <si>
    <t>星見中次、中元餘</t>
  </si>
  <si>
    <t>星見中氣日名</t>
  </si>
  <si>
    <t>事件</t>
  </si>
  <si>
    <t>歲在</t>
  </si>
  <si>
    <t>伐桀之歲</t>
  </si>
  <si>
    <t>大火房五度</t>
  </si>
  <si>
    <t>爲天子用事十三年</t>
  </si>
  <si>
    <t>亡餘分，爲孟統</t>
  </si>
  <si>
    <t>後九十五歲</t>
  </si>
  <si>
    <t>鶉火張十三度</t>
  </si>
  <si>
    <t>釐公五年</t>
  </si>
  <si>
    <t>年數</t>
  </si>
  <si>
    <t>文王受命</t>
  </si>
  <si>
    <t>文王崩</t>
  </si>
  <si>
    <t>文王受命九年而崩</t>
  </si>
  <si>
    <t>伐紂</t>
  </si>
  <si>
    <t>文王崩再期，文王十一年</t>
  </si>
  <si>
    <t>伐紂克殷</t>
  </si>
  <si>
    <t>伐桀至伐紂629歲；文王十三年</t>
  </si>
  <si>
    <t>武王崩</t>
  </si>
  <si>
    <t>伐紂後七歲而崩</t>
  </si>
  <si>
    <t>周公攝政五年</t>
  </si>
  <si>
    <t>孟統二十九章首</t>
  </si>
  <si>
    <t>周公七年復子明辟</t>
  </si>
  <si>
    <t>成王元年</t>
  </si>
  <si>
    <t>正月己巳朔</t>
  </si>
  <si>
    <t>日名</t>
  </si>
  <si>
    <t>成王三十年而崩</t>
  </si>
  <si>
    <t>四月庚戌朔，十五日甲子哉生霸，翌日乙丑，成王崩</t>
  </si>
  <si>
    <t>康王十二年</t>
  </si>
  <si>
    <t>六月戊辰朔，三日庚午</t>
  </si>
  <si>
    <t>康王十六年</t>
  </si>
  <si>
    <t>年</t>
  </si>
  <si>
    <t>紀年</t>
  </si>
  <si>
    <t>伯禽薨，即位46年</t>
  </si>
  <si>
    <t>魯考公四年</t>
  </si>
  <si>
    <t>魯煬公二十四年</t>
  </si>
  <si>
    <t>幽公十四年</t>
  </si>
  <si>
    <t>微公二十六年</t>
  </si>
  <si>
    <t>距微公76歲</t>
  </si>
  <si>
    <t>距獻公76歲</t>
  </si>
  <si>
    <t>煬公六十年</t>
  </si>
  <si>
    <t>微公五十年</t>
  </si>
  <si>
    <t>厲公三十七年</t>
  </si>
  <si>
    <t>獻公十五年</t>
  </si>
  <si>
    <t>距懿公76歲</t>
  </si>
  <si>
    <t>獻公五十年</t>
  </si>
  <si>
    <t>慎公三十年</t>
  </si>
  <si>
    <t>武公二年</t>
  </si>
  <si>
    <t>懿公九年</t>
  </si>
  <si>
    <t>距惠公76歲</t>
  </si>
  <si>
    <t>柏御十一年</t>
  </si>
  <si>
    <t>孝公二十七年</t>
  </si>
  <si>
    <t>惠公三十八年</t>
  </si>
  <si>
    <t>正月壬申</t>
  </si>
  <si>
    <t>距釐公76歲</t>
  </si>
  <si>
    <t>惠公四十六年</t>
  </si>
  <si>
    <t>隱公元年</t>
  </si>
  <si>
    <t>春秋</t>
  </si>
  <si>
    <t>隱公十一年</t>
  </si>
  <si>
    <t>距伐紂400歲，錢大昕以爲此元年爲隱公元年，非桓公元年</t>
  </si>
  <si>
    <t>桓公十八年</t>
  </si>
  <si>
    <t>莊公三十二年</t>
  </si>
  <si>
    <t>愍公二年</t>
  </si>
  <si>
    <t>距成公76歲，孟統五十三章首</t>
  </si>
  <si>
    <t>正月辛亥朔</t>
  </si>
  <si>
    <t>釐公十六年</t>
  </si>
  <si>
    <t>釐公二十四年</t>
  </si>
  <si>
    <t>釐公三十三年</t>
  </si>
  <si>
    <t>文公元年</t>
  </si>
  <si>
    <t>距釐公五年29歲</t>
  </si>
  <si>
    <t>文公六年</t>
  </si>
  <si>
    <t>閏餘十，無閏而置閏</t>
  </si>
  <si>
    <t>文公十八年</t>
  </si>
  <si>
    <t>宣公十八年</t>
  </si>
  <si>
    <t>成公十二年</t>
  </si>
  <si>
    <t>正月庚寅</t>
  </si>
  <si>
    <t>距定公七年76歲</t>
  </si>
  <si>
    <t>成公十八年</t>
  </si>
  <si>
    <t>襄公二十七年</t>
  </si>
  <si>
    <t>距辛亥109歲</t>
  </si>
  <si>
    <t>襄公三十年</t>
  </si>
  <si>
    <t>娵訾</t>
  </si>
  <si>
    <t>襄公三十一年</t>
  </si>
  <si>
    <t>距辛亥113歲</t>
  </si>
  <si>
    <t>昭公八年</t>
  </si>
  <si>
    <t>昭公十年</t>
  </si>
  <si>
    <t>昭公十八年</t>
  </si>
  <si>
    <t>距辛亥131歲</t>
  </si>
  <si>
    <t>昭公二十年</t>
  </si>
  <si>
    <t>距辛亥133歲，辛亥後八章首</t>
  </si>
  <si>
    <t>正月己丑</t>
  </si>
  <si>
    <t>失閏</t>
  </si>
  <si>
    <t>昭公三十二年</t>
  </si>
  <si>
    <t>距辛亥145歲</t>
  </si>
  <si>
    <t>定公七年</t>
  </si>
  <si>
    <t>正月己巳</t>
  </si>
  <si>
    <t>定公十五年</t>
  </si>
  <si>
    <t>哀公十二年</t>
  </si>
  <si>
    <t>冬十二月流火</t>
  </si>
  <si>
    <t>哀公二十七年</t>
  </si>
  <si>
    <t>哀公十四年</t>
  </si>
  <si>
    <t>春秋242年，距隱公元年242年</t>
  </si>
  <si>
    <t>悼公三十七年</t>
  </si>
  <si>
    <t>元公四年</t>
  </si>
  <si>
    <t>正月戊申</t>
  </si>
  <si>
    <t>距康公76歲</t>
  </si>
  <si>
    <t>元公二十一年</t>
  </si>
  <si>
    <t>穆公三十三年</t>
  </si>
  <si>
    <t>恭公二十二年</t>
  </si>
  <si>
    <t>康公四年</t>
  </si>
  <si>
    <t>正月丁亥</t>
  </si>
  <si>
    <t>距緡公76歲</t>
  </si>
  <si>
    <t>距元公76歲</t>
  </si>
  <si>
    <t>康公九年</t>
  </si>
  <si>
    <t>景公二十九年</t>
  </si>
  <si>
    <t>平公二十年</t>
  </si>
  <si>
    <t>緡公二十二年</t>
  </si>
  <si>
    <t>正月丙寅</t>
  </si>
  <si>
    <t>距楚元76歲</t>
  </si>
  <si>
    <t>緡公二十三年</t>
  </si>
  <si>
    <t>頃公十八年</t>
  </si>
  <si>
    <t>秦滅周</t>
  </si>
  <si>
    <t>秦昭王五十一年，周867歲</t>
  </si>
  <si>
    <t>秦伯昭公五十六年</t>
  </si>
  <si>
    <t>楚考烈王滅魯頃公，周滅後六年</t>
  </si>
  <si>
    <t>秦莊襄王三年</t>
  </si>
  <si>
    <t>秦始皇三十七年</t>
  </si>
  <si>
    <t>秦孝文王</t>
  </si>
  <si>
    <t>漢高祖元年</t>
  </si>
  <si>
    <t>秦二世三年，秦四十九歲</t>
  </si>
  <si>
    <t>鶉首之六度</t>
  </si>
  <si>
    <t>漢高祖八年</t>
  </si>
  <si>
    <t>十一月乙巳</t>
  </si>
  <si>
    <t>楚元三年，距元朔76年</t>
  </si>
  <si>
    <t>漢高祖十二年</t>
  </si>
  <si>
    <t>漢惠帝七年</t>
  </si>
  <si>
    <t>漢高帝八年</t>
  </si>
  <si>
    <t>呂后稱制</t>
  </si>
  <si>
    <t>漢文帝二十三年</t>
  </si>
  <si>
    <t>前十六年，後七年</t>
  </si>
  <si>
    <t>漢景帝十六年</t>
  </si>
  <si>
    <t>前七年，中六年，後三年</t>
  </si>
  <si>
    <t>漢武帝建元六年</t>
  </si>
  <si>
    <t>漢武帝元光六年</t>
  </si>
  <si>
    <t>漢武帝元朔六年</t>
  </si>
  <si>
    <t>十一月甲申</t>
  </si>
  <si>
    <t>距初元76歲</t>
  </si>
  <si>
    <t>漢武帝元狩六年</t>
  </si>
  <si>
    <t>漢武帝元鼎六年</t>
  </si>
  <si>
    <t>漢武帝元封六年</t>
  </si>
  <si>
    <t>元封六年</t>
  </si>
  <si>
    <t>前十一月甲子</t>
  </si>
  <si>
    <t>星紀婺女六度</t>
  </si>
  <si>
    <t>漢武帝太初四年</t>
  </si>
  <si>
    <t>漢武帝天漢四年</t>
  </si>
  <si>
    <t>漢武帝太始四年</t>
  </si>
  <si>
    <t>漢武帝征和四年</t>
  </si>
  <si>
    <t>漢武帝後二年</t>
  </si>
  <si>
    <t>漢武帝著紀54年</t>
  </si>
  <si>
    <t>漢昭帝十三年</t>
  </si>
  <si>
    <t>始元、元鳳各六年，元平一年</t>
  </si>
  <si>
    <t>漢宣帝二十五年</t>
  </si>
  <si>
    <t>本始、地節、元康、神爵、五鳳、甘露各四年，黃龍一年</t>
  </si>
  <si>
    <t>漢元帝初元二年</t>
  </si>
  <si>
    <t>十一月癸亥</t>
  </si>
  <si>
    <t>距建武76歲</t>
  </si>
  <si>
    <t>漢元帝十六年</t>
  </si>
  <si>
    <t>初元、永光、建昭各五年，竟寧一年</t>
  </si>
  <si>
    <t>漢成帝二十六年</t>
  </si>
  <si>
    <t>建始、河平、陽朔、鴻嘉、永始、元延各四年，綏和二年</t>
  </si>
  <si>
    <t>漢哀帝六年</t>
  </si>
  <si>
    <t>建平四年，元壽二年</t>
  </si>
  <si>
    <t>漢平帝元始五年</t>
  </si>
  <si>
    <t>王莽居攝三年</t>
  </si>
  <si>
    <t>王莽十四年</t>
  </si>
  <si>
    <t>始建國五年，天鳳六年，地皇三年</t>
  </si>
  <si>
    <t>漢更始帝二年</t>
  </si>
  <si>
    <t>自漢元年訖更始二年，凡230歲</t>
  </si>
  <si>
    <t>光武建武元年</t>
  </si>
  <si>
    <t>鶉尾之張度</t>
  </si>
  <si>
    <t>光武三十三年</t>
  </si>
  <si>
    <t>建武三十一年，中元二年</t>
  </si>
  <si>
    <t>商十二月乙丑</t>
  </si>
  <si>
    <t>商十二月甲申</t>
  </si>
  <si>
    <t>正月丁巳</t>
  </si>
  <si>
    <t>正月丙申</t>
  </si>
  <si>
    <t>正月乙亥</t>
  </si>
  <si>
    <t>正月甲寅</t>
  </si>
  <si>
    <t>正月癸巳</t>
  </si>
  <si>
    <t>正月辛亥</t>
  </si>
  <si>
    <t>漢武帝太初元年</t>
  </si>
  <si>
    <t>太甲元年，湯沒之年</t>
  </si>
  <si>
    <t xml:space="preserve"> 魯公 </t>
  </si>
  <si>
    <t xml:space="preserve"> 世經 </t>
  </si>
  <si>
    <t xml:space="preserve"> 魯周公世家 </t>
  </si>
  <si>
    <t xml:space="preserve"> 伯禽 </t>
  </si>
  <si>
    <t xml:space="preserve"> 考公 </t>
  </si>
  <si>
    <t xml:space="preserve"> 煬公 </t>
  </si>
  <si>
    <t xml:space="preserve"> 幽公 </t>
  </si>
  <si>
    <t xml:space="preserve"> 微公 </t>
  </si>
  <si>
    <t xml:space="preserve"> 厲公 </t>
  </si>
  <si>
    <t xml:space="preserve"> 獻公 </t>
  </si>
  <si>
    <t xml:space="preserve"> 武公 </t>
  </si>
  <si>
    <t xml:space="preserve"> 懿公 </t>
  </si>
  <si>
    <t xml:space="preserve"> 孝公 </t>
  </si>
  <si>
    <t xml:space="preserve"> 惠公 </t>
  </si>
  <si>
    <t xml:space="preserve"> 隱公 </t>
  </si>
  <si>
    <t xml:space="preserve"> 桓公 </t>
  </si>
  <si>
    <t xml:space="preserve"> 莊公 </t>
  </si>
  <si>
    <t xml:space="preserve"> 愍公 </t>
  </si>
  <si>
    <t xml:space="preserve"> 釐公 </t>
  </si>
  <si>
    <t xml:space="preserve"> 文公興 </t>
  </si>
  <si>
    <t xml:space="preserve"> 宣公俀 </t>
  </si>
  <si>
    <t xml:space="preserve"> 成公黑肱 </t>
  </si>
  <si>
    <t xml:space="preserve"> 襄公午 </t>
  </si>
  <si>
    <t xml:space="preserve"> 昭公裯 </t>
  </si>
  <si>
    <t xml:space="preserve"> 定公宋 </t>
  </si>
  <si>
    <t xml:space="preserve"> 哀公將 </t>
  </si>
  <si>
    <t xml:space="preserve"> 悼公寧 </t>
  </si>
  <si>
    <t xml:space="preserve"> 元公嘉 </t>
  </si>
  <si>
    <t xml:space="preserve"> 穆公顯 </t>
  </si>
  <si>
    <t xml:space="preserve"> 恭公奮 </t>
  </si>
  <si>
    <t xml:space="preserve"> 康公屯 </t>
  </si>
  <si>
    <t xml:space="preserve"> 景公匽 </t>
  </si>
  <si>
    <t xml:space="preserve"> 平公叔 </t>
  </si>
  <si>
    <t xml:space="preserve"> 緡（文）公賈 </t>
  </si>
  <si>
    <t xml:space="preserve"> 頃公讎 </t>
  </si>
  <si>
    <t xml:space="preserve"> 慎（真）公 </t>
  </si>
  <si>
    <t xml:space="preserve"> 柏（伯）御 </t>
  </si>
  <si>
    <t>無</t>
  </si>
  <si>
    <t>十二諸侯年表</t>
  </si>
  <si>
    <t>38（通伯御爲38）</t>
  </si>
  <si>
    <t>六國年表元公楚簡王四年即位428，穆公楚聲王元年即位407，按史記算法應該是20年</t>
  </si>
  <si>
    <t>魯共公楚肅王五年即位376，30 年</t>
  </si>
  <si>
    <t>康公352楚宣王十八年即位，23年</t>
  </si>
  <si>
    <t>景公楚宣王二十七年即位，343</t>
  </si>
  <si>
    <t>平公楚懷王十五年即位314，</t>
  </si>
  <si>
    <t>文公楚頃襄王四年即位，295</t>
  </si>
  <si>
    <t>頃公楚頃襄王二十七年即位，272；楚考烈王十四年滅魯，249</t>
  </si>
  <si>
    <t>公元</t>
  </si>
  <si>
    <t>閏月</t>
  </si>
  <si>
    <t>閏數餘十八，正大寒中，在周二月己丑晦。明日閏月庚寅朔</t>
  </si>
  <si>
    <t>閏餘十三，正小雪，閏當在十一月後，而在三月</t>
  </si>
  <si>
    <t>九月乙亥朔，是建申之月也。魯史書：「十二月乙亥朔，日有食之。」傳曰：「冬十一月乙亥朔，日有食之，於是辰在申，司曆過也，再失閏矣。」言</t>
  </si>
  <si>
    <t>正月己丑朔旦冬至，失閏</t>
  </si>
  <si>
    <t>襄公二十八年</t>
  </si>
  <si>
    <t>距辛亥110歲</t>
  </si>
  <si>
    <t>殷十一月戊子</t>
  </si>
  <si>
    <t>殷十一月戊子，後三日周正月辛卯朔</t>
  </si>
  <si>
    <t xml:space="preserve"> 殷十一月戊子 </t>
  </si>
  <si>
    <t xml:space="preserve"> 師初發 </t>
  </si>
  <si>
    <t xml:space="preserve"> 周正月辛卯朔 </t>
  </si>
  <si>
    <t xml:space="preserve"> 後三日 </t>
  </si>
  <si>
    <t xml:space="preserve"> 明日壬辰 </t>
  </si>
  <si>
    <t xml:space="preserve"> 癸巳 </t>
  </si>
  <si>
    <t xml:space="preserve"> 武王始發 </t>
  </si>
  <si>
    <t xml:space="preserve"> 丙午 </t>
  </si>
  <si>
    <t xml:space="preserve"> 還師 </t>
  </si>
  <si>
    <t xml:space="preserve"> 戊午 </t>
  </si>
  <si>
    <t xml:space="preserve"> 度于孟津 </t>
  </si>
  <si>
    <t xml:space="preserve"> 庚申 </t>
  </si>
  <si>
    <t xml:space="preserve"> 二月朔日 </t>
  </si>
  <si>
    <t xml:space="preserve"> 四日癸亥 </t>
  </si>
  <si>
    <t xml:space="preserve"> 至牧野，夜陳 </t>
  </si>
  <si>
    <t xml:space="preserve"> 甲子 </t>
  </si>
  <si>
    <t xml:space="preserve"> 昧爽而合矣 </t>
  </si>
  <si>
    <t xml:space="preserve"> 周二月己丑晦 </t>
  </si>
  <si>
    <t xml:space="preserve"> 明日閏月庚寅朔 </t>
  </si>
  <si>
    <t xml:space="preserve"> 三月二日庚申 </t>
  </si>
  <si>
    <t xml:space="preserve"> 驚蟄 </t>
  </si>
  <si>
    <t xml:space="preserve"> 四月己丑朔 </t>
  </si>
  <si>
    <t xml:space="preserve"> 死霸 </t>
  </si>
  <si>
    <t xml:space="preserve"> 是月甲辰 </t>
  </si>
  <si>
    <t xml:space="preserve"> 望 </t>
  </si>
  <si>
    <t xml:space="preserve"> 乙巳 </t>
  </si>
  <si>
    <t xml:space="preserve"> 旁生霸 </t>
  </si>
  <si>
    <t xml:space="preserve"> 六日庚戌 </t>
  </si>
  <si>
    <t xml:space="preserve"> 武王燎于周廟 </t>
  </si>
  <si>
    <t xml:space="preserve"> 翌日辛亥 </t>
  </si>
  <si>
    <t xml:space="preserve"> 祀于天位 </t>
  </si>
  <si>
    <t xml:space="preserve"> 粵五日乙卯 </t>
  </si>
  <si>
    <t xml:space="preserve"> 乃以庶國祀馘于周廟 </t>
  </si>
  <si>
    <t>殷十一月</t>
  </si>
  <si>
    <t>周正月一日</t>
  </si>
  <si>
    <t>正月二日</t>
  </si>
  <si>
    <t>正月三日</t>
  </si>
  <si>
    <t>己未</t>
  </si>
  <si>
    <t>旁死霸</t>
  </si>
  <si>
    <t>正月二十八</t>
  </si>
  <si>
    <t>正月十六</t>
  </si>
  <si>
    <t>正月二十九</t>
  </si>
  <si>
    <t>二月一日</t>
  </si>
  <si>
    <t>二月四日</t>
  </si>
  <si>
    <t>二月五日</t>
  </si>
  <si>
    <t>二月三十</t>
  </si>
  <si>
    <t>閏二月一日</t>
  </si>
  <si>
    <t>三月二日</t>
  </si>
  <si>
    <t>四月一日</t>
  </si>
  <si>
    <t>四月十六</t>
  </si>
  <si>
    <t>四月十七</t>
  </si>
  <si>
    <t>四月二十三</t>
  </si>
  <si>
    <t>四月二十二</t>
  </si>
  <si>
    <t>四月二十七</t>
  </si>
  <si>
    <t>干支序數</t>
  </si>
  <si>
    <t>月日</t>
  </si>
  <si>
    <t>文公十一年</t>
  </si>
  <si>
    <t>夏正月甲子朔</t>
  </si>
  <si>
    <t>日在析木箕七度；是夕也，月在房五度</t>
  </si>
  <si>
    <t>合辰在斗前一度</t>
  </si>
  <si>
    <t>晨星始見</t>
  </si>
  <si>
    <t>冬至，坻星與婺女伏，歷建星及牽牛，至於婺女天黿之首</t>
  </si>
  <si>
    <t>伐紂之年</t>
  </si>
  <si>
    <t>日在尾，月在策，鶉火中</t>
  </si>
  <si>
    <t>冬十二月丙子</t>
  </si>
  <si>
    <t>五月有丙子、戊寅、壬午</t>
  </si>
  <si>
    <t>火始昏見</t>
  </si>
  <si>
    <t>冬十二月</t>
  </si>
  <si>
    <t>流火，非建戌之月</t>
  </si>
  <si>
    <t>成王三十年</t>
  </si>
  <si>
    <t>周公攝政七年</t>
  </si>
  <si>
    <t>距上元</t>
  </si>
  <si>
    <t>月</t>
  </si>
  <si>
    <t>日</t>
  </si>
  <si>
    <t>己巳</t>
  </si>
  <si>
    <t>庚戌</t>
  </si>
  <si>
    <t>甲子</t>
  </si>
  <si>
    <t>乙丑</t>
  </si>
  <si>
    <t>戊辰</t>
  </si>
  <si>
    <t>庚午</t>
  </si>
  <si>
    <t>甲午</t>
  </si>
  <si>
    <t>丙子</t>
  </si>
  <si>
    <t>乙亥</t>
  </si>
  <si>
    <t>癸未</t>
  </si>
  <si>
    <t>戊寅</t>
  </si>
  <si>
    <t>壬午</t>
  </si>
  <si>
    <t>庚寅</t>
  </si>
  <si>
    <t>乙未</t>
  </si>
  <si>
    <t>甲辰</t>
  </si>
  <si>
    <t>丙午</t>
  </si>
  <si>
    <t>正月二日壬辰</t>
  </si>
  <si>
    <t>既死霸</t>
  </si>
  <si>
    <t>二月五日甲子</t>
  </si>
  <si>
    <t>死霸</t>
  </si>
  <si>
    <t>四月一日己丑朔</t>
  </si>
  <si>
    <t>望</t>
  </si>
  <si>
    <t>四月十六日甲辰</t>
  </si>
  <si>
    <t>旁生霸</t>
  </si>
  <si>
    <t>四月十七乙巳</t>
  </si>
  <si>
    <t>二月十六庚寅</t>
  </si>
  <si>
    <t>朏</t>
  </si>
  <si>
    <t>三月三日丙午</t>
  </si>
  <si>
    <t>哉生霸</t>
  </si>
  <si>
    <t>四月十五日甲子</t>
  </si>
  <si>
    <t>伐紂 142109</t>
  </si>
  <si>
    <t>周公攝政七年 142123</t>
  </si>
  <si>
    <t>成王三十年 142153</t>
  </si>
  <si>
    <t>六月戊辰</t>
  </si>
  <si>
    <t>紀母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</si>
</sst>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2" fontId="0" fillId="0" borderId="0" xfId="0" applyNumberFormat="1"/>
    <xf numFmtId="16" fontId="0" fillId="0" borderId="0" xfId="0" applyNumberFormat="1"/>
    <xf numFmtId="16" fontId="2" fillId="0" borderId="0" xfId="0" applyNumberFormat="1" applyFont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BFA4-19D3-2746-8AF6-513FC27EF1D2}">
  <dimension ref="A1:G57"/>
  <sheetViews>
    <sheetView zoomScale="13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baseColWidth="10" defaultRowHeight="16" x14ac:dyDescent="0.2"/>
  <cols>
    <col min="2" max="2" width="13.83203125" customWidth="1"/>
    <col min="3" max="3" width="14.83203125" customWidth="1"/>
    <col min="4" max="4" width="15.1640625" customWidth="1"/>
    <col min="5" max="5" width="28" customWidth="1"/>
  </cols>
  <sheetData>
    <row r="1" spans="1:4" x14ac:dyDescent="0.2">
      <c r="A1" t="s">
        <v>41</v>
      </c>
      <c r="B1" t="s">
        <v>42</v>
      </c>
      <c r="C1" t="s">
        <v>44</v>
      </c>
      <c r="D1" t="s">
        <v>43</v>
      </c>
    </row>
    <row r="2" spans="1:4" x14ac:dyDescent="0.2">
      <c r="A2" t="s">
        <v>0</v>
      </c>
      <c r="B2" s="1">
        <v>81</v>
      </c>
      <c r="C2" t="s">
        <v>45</v>
      </c>
      <c r="D2" t="s">
        <v>20</v>
      </c>
    </row>
    <row r="3" spans="1:4" x14ac:dyDescent="0.2">
      <c r="A3" t="s">
        <v>312</v>
      </c>
      <c r="B3" s="1">
        <v>19</v>
      </c>
      <c r="C3" t="s">
        <v>46</v>
      </c>
      <c r="D3" t="s">
        <v>280</v>
      </c>
    </row>
    <row r="4" spans="1:4" x14ac:dyDescent="0.2">
      <c r="A4" t="s">
        <v>1</v>
      </c>
      <c r="B4" s="1">
        <v>1539</v>
      </c>
      <c r="C4" t="s">
        <v>47</v>
      </c>
      <c r="D4" t="s">
        <v>21</v>
      </c>
    </row>
    <row r="5" spans="1:4" x14ac:dyDescent="0.2">
      <c r="A5" t="s">
        <v>2</v>
      </c>
      <c r="B5" s="1">
        <v>4617</v>
      </c>
      <c r="C5" t="s">
        <v>48</v>
      </c>
      <c r="D5" t="s">
        <v>22</v>
      </c>
    </row>
    <row r="6" spans="1:4" x14ac:dyDescent="0.2">
      <c r="A6" t="s">
        <v>3</v>
      </c>
      <c r="B6" s="1">
        <v>47</v>
      </c>
      <c r="C6" t="s">
        <v>58</v>
      </c>
      <c r="D6" t="s">
        <v>23</v>
      </c>
    </row>
    <row r="7" spans="1:4" x14ac:dyDescent="0.2">
      <c r="A7" t="s">
        <v>4</v>
      </c>
      <c r="B7" s="1">
        <v>235</v>
      </c>
      <c r="C7" t="s">
        <v>56</v>
      </c>
      <c r="D7" t="s">
        <v>24</v>
      </c>
    </row>
    <row r="8" spans="1:4" x14ac:dyDescent="0.2">
      <c r="A8" t="s">
        <v>5</v>
      </c>
      <c r="B8" s="1">
        <v>2392</v>
      </c>
      <c r="C8" t="s">
        <v>53</v>
      </c>
      <c r="D8" t="s">
        <v>25</v>
      </c>
    </row>
    <row r="9" spans="1:4" x14ac:dyDescent="0.2">
      <c r="A9" t="s">
        <v>6</v>
      </c>
      <c r="B9" s="1">
        <v>598</v>
      </c>
      <c r="C9" t="s">
        <v>64</v>
      </c>
      <c r="D9" t="s">
        <v>26</v>
      </c>
    </row>
    <row r="10" spans="1:4" x14ac:dyDescent="0.2">
      <c r="A10" t="s">
        <v>7</v>
      </c>
      <c r="B10" s="1">
        <v>140530</v>
      </c>
      <c r="C10" t="s">
        <v>62</v>
      </c>
      <c r="D10" t="s">
        <v>27</v>
      </c>
    </row>
    <row r="11" spans="1:4" x14ac:dyDescent="0.2">
      <c r="A11" t="s">
        <v>8</v>
      </c>
      <c r="B11" s="1">
        <v>562120</v>
      </c>
      <c r="C11" t="s">
        <v>281</v>
      </c>
      <c r="D11" t="s">
        <v>28</v>
      </c>
    </row>
    <row r="12" spans="1:4" x14ac:dyDescent="0.2">
      <c r="A12" t="s">
        <v>9</v>
      </c>
      <c r="B12" s="1">
        <v>12</v>
      </c>
      <c r="C12" t="s">
        <v>49</v>
      </c>
      <c r="D12" t="s">
        <v>30</v>
      </c>
    </row>
    <row r="13" spans="1:4" x14ac:dyDescent="0.2">
      <c r="A13" t="s">
        <v>10</v>
      </c>
      <c r="B13" s="1">
        <v>254</v>
      </c>
      <c r="C13" t="s">
        <v>54</v>
      </c>
      <c r="D13" t="s">
        <v>31</v>
      </c>
    </row>
    <row r="14" spans="1:4" x14ac:dyDescent="0.2">
      <c r="A14" t="s">
        <v>11</v>
      </c>
      <c r="B14" s="1">
        <v>135</v>
      </c>
      <c r="C14" t="s">
        <v>55</v>
      </c>
      <c r="D14" t="s">
        <v>32</v>
      </c>
    </row>
    <row r="15" spans="1:4" x14ac:dyDescent="0.2">
      <c r="A15" t="s">
        <v>12</v>
      </c>
      <c r="B15" s="1">
        <v>6345</v>
      </c>
      <c r="C15" t="s">
        <v>59</v>
      </c>
      <c r="D15" t="s">
        <v>33</v>
      </c>
    </row>
    <row r="16" spans="1:4" x14ac:dyDescent="0.2">
      <c r="A16" t="s">
        <v>13</v>
      </c>
      <c r="B16" s="1">
        <v>19035</v>
      </c>
      <c r="C16" t="s">
        <v>60</v>
      </c>
      <c r="D16" t="s">
        <v>34</v>
      </c>
    </row>
    <row r="17" spans="1:7" x14ac:dyDescent="0.2">
      <c r="A17" t="s">
        <v>14</v>
      </c>
      <c r="B17" s="1">
        <v>57105</v>
      </c>
      <c r="C17" t="s">
        <v>61</v>
      </c>
      <c r="D17" t="s">
        <v>35</v>
      </c>
    </row>
    <row r="18" spans="1:7" x14ac:dyDescent="0.2">
      <c r="A18" t="s">
        <v>15</v>
      </c>
      <c r="B18" s="1">
        <v>228</v>
      </c>
      <c r="C18" t="s">
        <v>50</v>
      </c>
      <c r="D18" t="s">
        <v>36</v>
      </c>
    </row>
    <row r="19" spans="1:7" x14ac:dyDescent="0.2">
      <c r="A19" t="s">
        <v>16</v>
      </c>
      <c r="B19" s="1">
        <v>18468</v>
      </c>
      <c r="C19" t="s">
        <v>51</v>
      </c>
      <c r="D19" t="s">
        <v>37</v>
      </c>
    </row>
    <row r="20" spans="1:7" x14ac:dyDescent="0.2">
      <c r="A20" t="s">
        <v>17</v>
      </c>
      <c r="B20" s="1">
        <v>55404</v>
      </c>
      <c r="C20" s="2" t="s">
        <v>52</v>
      </c>
      <c r="D20" t="s">
        <v>38</v>
      </c>
    </row>
    <row r="21" spans="1:7" x14ac:dyDescent="0.2">
      <c r="A21" t="s">
        <v>18</v>
      </c>
      <c r="B21" s="1">
        <v>8080</v>
      </c>
      <c r="C21" t="s">
        <v>63</v>
      </c>
      <c r="D21" t="s">
        <v>39</v>
      </c>
    </row>
    <row r="22" spans="1:7" x14ac:dyDescent="0.2">
      <c r="A22" t="s">
        <v>19</v>
      </c>
      <c r="B22" s="1">
        <v>57</v>
      </c>
      <c r="C22" t="s">
        <v>57</v>
      </c>
      <c r="D22" t="s">
        <v>40</v>
      </c>
    </row>
    <row r="23" spans="1:7" x14ac:dyDescent="0.2">
      <c r="D23" s="1"/>
    </row>
    <row r="24" spans="1:7" x14ac:dyDescent="0.2">
      <c r="A24" t="s">
        <v>282</v>
      </c>
      <c r="B24" t="s">
        <v>299</v>
      </c>
      <c r="C24" t="s">
        <v>294</v>
      </c>
      <c r="D24" t="s">
        <v>295</v>
      </c>
      <c r="E24" t="s">
        <v>319</v>
      </c>
      <c r="G24" s="1"/>
    </row>
    <row r="25" spans="1:7" x14ac:dyDescent="0.2">
      <c r="A25" t="s">
        <v>283</v>
      </c>
      <c r="B25" t="s">
        <v>300</v>
      </c>
      <c r="C25" t="s">
        <v>321</v>
      </c>
      <c r="D25" t="s">
        <v>297</v>
      </c>
      <c r="E25" t="s">
        <v>320</v>
      </c>
    </row>
    <row r="26" spans="1:7" x14ac:dyDescent="0.2">
      <c r="A26" t="s">
        <v>322</v>
      </c>
      <c r="B26" t="s">
        <v>301</v>
      </c>
      <c r="C26" t="s">
        <v>296</v>
      </c>
      <c r="D26" t="s">
        <v>298</v>
      </c>
      <c r="E26" t="s">
        <v>325</v>
      </c>
    </row>
    <row r="27" spans="1:7" x14ac:dyDescent="0.2">
      <c r="A27" t="s">
        <v>284</v>
      </c>
      <c r="B27" t="s">
        <v>303</v>
      </c>
      <c r="C27" t="s">
        <v>269</v>
      </c>
      <c r="D27" t="s">
        <v>305</v>
      </c>
      <c r="E27" t="s">
        <v>326</v>
      </c>
    </row>
    <row r="28" spans="1:7" x14ac:dyDescent="0.2">
      <c r="A28" t="s">
        <v>323</v>
      </c>
      <c r="B28" t="s">
        <v>15</v>
      </c>
      <c r="C28" t="s">
        <v>304</v>
      </c>
    </row>
    <row r="29" spans="1:7" x14ac:dyDescent="0.2">
      <c r="A29" t="s">
        <v>324</v>
      </c>
      <c r="B29" t="s">
        <v>306</v>
      </c>
      <c r="C29" t="s">
        <v>296</v>
      </c>
      <c r="D29" t="s">
        <v>307</v>
      </c>
    </row>
    <row r="30" spans="1:7" x14ac:dyDescent="0.2">
      <c r="A30" t="s">
        <v>285</v>
      </c>
      <c r="B30" t="s">
        <v>308</v>
      </c>
    </row>
    <row r="31" spans="1:7" x14ac:dyDescent="0.2">
      <c r="A31" t="s">
        <v>286</v>
      </c>
      <c r="B31" t="s">
        <v>309</v>
      </c>
      <c r="C31" t="s">
        <v>292</v>
      </c>
      <c r="D31" t="s">
        <v>311</v>
      </c>
    </row>
    <row r="32" spans="1:7" x14ac:dyDescent="0.2">
      <c r="A32" t="s">
        <v>287</v>
      </c>
      <c r="B32" t="s">
        <v>314</v>
      </c>
      <c r="C32" t="s">
        <v>310</v>
      </c>
      <c r="D32" t="s">
        <v>315</v>
      </c>
    </row>
    <row r="33" spans="1:4" x14ac:dyDescent="0.2">
      <c r="A33" t="s">
        <v>288</v>
      </c>
      <c r="B33" t="s">
        <v>313</v>
      </c>
      <c r="C33" t="s">
        <v>310</v>
      </c>
      <c r="D33" t="s">
        <v>316</v>
      </c>
    </row>
    <row r="34" spans="1:4" x14ac:dyDescent="0.2">
      <c r="A34" t="s">
        <v>289</v>
      </c>
      <c r="C34" t="s">
        <v>317</v>
      </c>
      <c r="D34" t="s">
        <v>318</v>
      </c>
    </row>
    <row r="35" spans="1:4" x14ac:dyDescent="0.2">
      <c r="A35" t="s">
        <v>290</v>
      </c>
    </row>
    <row r="37" spans="1:4" x14ac:dyDescent="0.2">
      <c r="A37" t="s">
        <v>321</v>
      </c>
      <c r="B37" t="s">
        <v>355</v>
      </c>
    </row>
    <row r="38" spans="1:4" x14ac:dyDescent="0.2">
      <c r="A38" t="s">
        <v>356</v>
      </c>
      <c r="B38" t="s">
        <v>357</v>
      </c>
    </row>
    <row r="39" spans="1:4" x14ac:dyDescent="0.2">
      <c r="A39" t="s">
        <v>358</v>
      </c>
      <c r="B39" t="s">
        <v>359</v>
      </c>
    </row>
    <row r="40" spans="1:4" x14ac:dyDescent="0.2">
      <c r="A40" t="s">
        <v>304</v>
      </c>
      <c r="B40" t="s">
        <v>360</v>
      </c>
    </row>
    <row r="41" spans="1:4" x14ac:dyDescent="0.2">
      <c r="A41" t="s">
        <v>361</v>
      </c>
      <c r="B41" t="s">
        <v>362</v>
      </c>
    </row>
    <row r="42" spans="1:4" x14ac:dyDescent="0.2">
      <c r="A42" t="s">
        <v>363</v>
      </c>
      <c r="B42" t="s">
        <v>364</v>
      </c>
    </row>
    <row r="44" spans="1:4" x14ac:dyDescent="0.2">
      <c r="A44" t="s">
        <v>365</v>
      </c>
      <c r="B44" t="s">
        <v>379</v>
      </c>
      <c r="C44" t="s">
        <v>294</v>
      </c>
      <c r="D44" t="s">
        <v>291</v>
      </c>
    </row>
    <row r="45" spans="1:4" x14ac:dyDescent="0.2">
      <c r="A45" t="s">
        <v>366</v>
      </c>
      <c r="B45" t="s">
        <v>380</v>
      </c>
      <c r="C45" t="s">
        <v>381</v>
      </c>
      <c r="D45" t="s">
        <v>383</v>
      </c>
    </row>
    <row r="46" spans="1:4" x14ac:dyDescent="0.2">
      <c r="A46" t="s">
        <v>367</v>
      </c>
      <c r="B46" t="s">
        <v>384</v>
      </c>
      <c r="C46" t="s">
        <v>382</v>
      </c>
      <c r="D46" t="s">
        <v>462</v>
      </c>
    </row>
    <row r="47" spans="1:4" x14ac:dyDescent="0.2">
      <c r="A47" t="s">
        <v>368</v>
      </c>
      <c r="B47" t="s">
        <v>385</v>
      </c>
      <c r="C47" t="s">
        <v>382</v>
      </c>
      <c r="D47" t="s">
        <v>386</v>
      </c>
    </row>
    <row r="48" spans="1:4" x14ac:dyDescent="0.2">
      <c r="A48" t="s">
        <v>369</v>
      </c>
      <c r="B48" t="s">
        <v>388</v>
      </c>
      <c r="C48" t="s">
        <v>387</v>
      </c>
      <c r="D48" t="s">
        <v>463</v>
      </c>
    </row>
    <row r="49" spans="1:4" x14ac:dyDescent="0.2">
      <c r="A49" t="s">
        <v>370</v>
      </c>
      <c r="B49" t="s">
        <v>302</v>
      </c>
      <c r="C49" t="s">
        <v>389</v>
      </c>
      <c r="D49" t="s">
        <v>390</v>
      </c>
    </row>
    <row r="50" spans="1:4" x14ac:dyDescent="0.2">
      <c r="A50" t="s">
        <v>371</v>
      </c>
    </row>
    <row r="51" spans="1:4" x14ac:dyDescent="0.2">
      <c r="A51" t="s">
        <v>372</v>
      </c>
    </row>
    <row r="52" spans="1:4" x14ac:dyDescent="0.2">
      <c r="A52" t="s">
        <v>373</v>
      </c>
    </row>
    <row r="53" spans="1:4" x14ac:dyDescent="0.2">
      <c r="A53" t="s">
        <v>374</v>
      </c>
    </row>
    <row r="54" spans="1:4" x14ac:dyDescent="0.2">
      <c r="A54" t="s">
        <v>375</v>
      </c>
    </row>
    <row r="55" spans="1:4" x14ac:dyDescent="0.2">
      <c r="A55" t="s">
        <v>376</v>
      </c>
    </row>
    <row r="56" spans="1:4" x14ac:dyDescent="0.2">
      <c r="A56" t="s">
        <v>377</v>
      </c>
    </row>
    <row r="57" spans="1:4" x14ac:dyDescent="0.2">
      <c r="A57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0037-790C-D74D-B866-1F86FA9343ED}">
  <dimension ref="A1:H96"/>
  <sheetViews>
    <sheetView tabSelected="1" zoomScale="125" zoomScaleNormal="100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A35" sqref="A35"/>
    </sheetView>
  </sheetViews>
  <sheetFormatPr baseColWidth="10" defaultRowHeight="16" x14ac:dyDescent="0.2"/>
  <sheetData>
    <row r="1" spans="1:7" x14ac:dyDescent="0.2">
      <c r="A1" t="s">
        <v>135</v>
      </c>
      <c r="B1" t="s">
        <v>140</v>
      </c>
      <c r="D1" t="s">
        <v>142</v>
      </c>
      <c r="F1" t="s">
        <v>141</v>
      </c>
      <c r="G1" t="s">
        <v>138</v>
      </c>
    </row>
    <row r="2" spans="1:7" x14ac:dyDescent="0.2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139</v>
      </c>
    </row>
    <row r="3" spans="1:7" x14ac:dyDescent="0.2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>
        <v>30</v>
      </c>
    </row>
    <row r="4" spans="1:7" x14ac:dyDescent="0.2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>
        <v>31</v>
      </c>
    </row>
    <row r="5" spans="1:7" x14ac:dyDescent="0.2">
      <c r="A5" t="s">
        <v>83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>
        <v>30</v>
      </c>
    </row>
    <row r="6" spans="1:7" x14ac:dyDescent="0.2">
      <c r="A6" t="s">
        <v>89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>
        <v>30</v>
      </c>
    </row>
    <row r="7" spans="1:7" x14ac:dyDescent="0.2">
      <c r="A7" t="s">
        <v>137</v>
      </c>
      <c r="B7" t="s">
        <v>136</v>
      </c>
      <c r="C7" t="s">
        <v>95</v>
      </c>
      <c r="D7" t="s">
        <v>96</v>
      </c>
      <c r="E7" t="s">
        <v>97</v>
      </c>
      <c r="F7" t="s">
        <v>98</v>
      </c>
      <c r="G7">
        <v>31</v>
      </c>
    </row>
    <row r="8" spans="1:7" x14ac:dyDescent="0.2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>
        <v>30</v>
      </c>
    </row>
    <row r="9" spans="1:7" x14ac:dyDescent="0.2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>
        <v>31</v>
      </c>
    </row>
    <row r="10" spans="1:7" x14ac:dyDescent="0.2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>
        <v>30</v>
      </c>
    </row>
    <row r="11" spans="1:7" x14ac:dyDescent="0.2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>
        <v>31</v>
      </c>
    </row>
    <row r="12" spans="1:7" x14ac:dyDescent="0.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>
        <v>30</v>
      </c>
    </row>
    <row r="13" spans="1:7" x14ac:dyDescent="0.2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>
        <v>31</v>
      </c>
    </row>
    <row r="15" spans="1:7" x14ac:dyDescent="0.2">
      <c r="A15" t="s">
        <v>143</v>
      </c>
      <c r="B15" t="s">
        <v>153</v>
      </c>
      <c r="C15" t="s">
        <v>163</v>
      </c>
      <c r="D15" t="s">
        <v>173</v>
      </c>
      <c r="E15" t="s">
        <v>183</v>
      </c>
      <c r="F15" t="s">
        <v>193</v>
      </c>
    </row>
    <row r="16" spans="1:7" x14ac:dyDescent="0.2">
      <c r="A16" t="s">
        <v>144</v>
      </c>
      <c r="B16" t="s">
        <v>154</v>
      </c>
      <c r="C16" t="s">
        <v>164</v>
      </c>
      <c r="D16" t="s">
        <v>174</v>
      </c>
      <c r="E16" t="s">
        <v>184</v>
      </c>
      <c r="F16" t="s">
        <v>194</v>
      </c>
    </row>
    <row r="17" spans="1:8" x14ac:dyDescent="0.2">
      <c r="A17" t="s">
        <v>145</v>
      </c>
      <c r="B17" t="s">
        <v>155</v>
      </c>
      <c r="C17" t="s">
        <v>165</v>
      </c>
      <c r="D17" t="s">
        <v>175</v>
      </c>
      <c r="E17" t="s">
        <v>185</v>
      </c>
      <c r="F17" t="s">
        <v>195</v>
      </c>
    </row>
    <row r="18" spans="1:8" x14ac:dyDescent="0.2">
      <c r="A18" t="s">
        <v>146</v>
      </c>
      <c r="B18" t="s">
        <v>156</v>
      </c>
      <c r="C18" t="s">
        <v>166</v>
      </c>
      <c r="D18" t="s">
        <v>176</v>
      </c>
      <c r="E18" t="s">
        <v>186</v>
      </c>
      <c r="F18" t="s">
        <v>196</v>
      </c>
    </row>
    <row r="19" spans="1:8" x14ac:dyDescent="0.2">
      <c r="A19" t="s">
        <v>147</v>
      </c>
      <c r="B19" t="s">
        <v>157</v>
      </c>
      <c r="C19" t="s">
        <v>167</v>
      </c>
      <c r="D19" t="s">
        <v>177</v>
      </c>
      <c r="E19" t="s">
        <v>187</v>
      </c>
      <c r="F19" t="s">
        <v>197</v>
      </c>
    </row>
    <row r="20" spans="1:8" x14ac:dyDescent="0.2">
      <c r="A20" t="s">
        <v>148</v>
      </c>
      <c r="B20" t="s">
        <v>158</v>
      </c>
      <c r="C20" t="s">
        <v>168</v>
      </c>
      <c r="D20" t="s">
        <v>178</v>
      </c>
      <c r="E20" t="s">
        <v>188</v>
      </c>
      <c r="F20" t="s">
        <v>198</v>
      </c>
    </row>
    <row r="21" spans="1:8" x14ac:dyDescent="0.2">
      <c r="A21" t="s">
        <v>149</v>
      </c>
      <c r="B21" t="s">
        <v>159</v>
      </c>
      <c r="C21" t="s">
        <v>169</v>
      </c>
      <c r="D21" t="s">
        <v>179</v>
      </c>
      <c r="E21" t="s">
        <v>189</v>
      </c>
      <c r="F21" t="s">
        <v>199</v>
      </c>
    </row>
    <row r="22" spans="1:8" x14ac:dyDescent="0.2">
      <c r="A22" t="s">
        <v>150</v>
      </c>
      <c r="B22" t="s">
        <v>160</v>
      </c>
      <c r="C22" t="s">
        <v>170</v>
      </c>
      <c r="D22" t="s">
        <v>180</v>
      </c>
      <c r="E22" t="s">
        <v>190</v>
      </c>
      <c r="F22" t="s">
        <v>200</v>
      </c>
    </row>
    <row r="23" spans="1:8" x14ac:dyDescent="0.2">
      <c r="A23" t="s">
        <v>151</v>
      </c>
      <c r="B23" t="s">
        <v>161</v>
      </c>
      <c r="C23" t="s">
        <v>171</v>
      </c>
      <c r="D23" t="s">
        <v>181</v>
      </c>
      <c r="E23" t="s">
        <v>191</v>
      </c>
      <c r="F23" t="s">
        <v>201</v>
      </c>
    </row>
    <row r="24" spans="1:8" x14ac:dyDescent="0.2">
      <c r="A24" t="s">
        <v>152</v>
      </c>
      <c r="B24" t="s">
        <v>162</v>
      </c>
      <c r="C24" t="s">
        <v>172</v>
      </c>
      <c r="D24" t="s">
        <v>182</v>
      </c>
      <c r="E24" t="s">
        <v>192</v>
      </c>
      <c r="F24" t="s">
        <v>202</v>
      </c>
    </row>
    <row r="25" spans="1:8" x14ac:dyDescent="0.2">
      <c r="A25" t="s">
        <v>257</v>
      </c>
      <c r="B25" t="s">
        <v>253</v>
      </c>
      <c r="C25" t="s">
        <v>256</v>
      </c>
      <c r="D25" t="s">
        <v>253</v>
      </c>
      <c r="E25" s="2" t="s">
        <v>255</v>
      </c>
      <c r="F25" s="2" t="s">
        <v>253</v>
      </c>
      <c r="G25" s="2" t="s">
        <v>254</v>
      </c>
      <c r="H25" s="2" t="s">
        <v>253</v>
      </c>
    </row>
    <row r="26" spans="1:8" x14ac:dyDescent="0.2">
      <c r="A26" t="s">
        <v>203</v>
      </c>
      <c r="B26" t="s">
        <v>29</v>
      </c>
      <c r="C26" t="s">
        <v>217</v>
      </c>
      <c r="D26" t="s">
        <v>218</v>
      </c>
      <c r="E26" t="s">
        <v>229</v>
      </c>
      <c r="F26" t="s">
        <v>230</v>
      </c>
      <c r="G26" t="s">
        <v>241</v>
      </c>
      <c r="H26" t="s">
        <v>242</v>
      </c>
    </row>
    <row r="27" spans="1:8" x14ac:dyDescent="0.2">
      <c r="A27" t="s">
        <v>204</v>
      </c>
      <c r="B27" t="s">
        <v>205</v>
      </c>
      <c r="C27" t="s">
        <v>219</v>
      </c>
      <c r="D27" t="s">
        <v>220</v>
      </c>
      <c r="E27" t="s">
        <v>231</v>
      </c>
      <c r="F27" t="s">
        <v>29</v>
      </c>
      <c r="G27" t="s">
        <v>243</v>
      </c>
      <c r="H27" t="s">
        <v>244</v>
      </c>
    </row>
    <row r="28" spans="1:8" x14ac:dyDescent="0.2">
      <c r="A28" t="s">
        <v>206</v>
      </c>
      <c r="B28" t="s">
        <v>207</v>
      </c>
      <c r="C28" t="s">
        <v>221</v>
      </c>
      <c r="D28" t="s">
        <v>29</v>
      </c>
      <c r="E28" t="s">
        <v>232</v>
      </c>
      <c r="F28" t="s">
        <v>233</v>
      </c>
      <c r="G28" t="s">
        <v>245</v>
      </c>
      <c r="H28" t="s">
        <v>207</v>
      </c>
    </row>
    <row r="29" spans="1:8" x14ac:dyDescent="0.2">
      <c r="A29" t="s">
        <v>208</v>
      </c>
      <c r="B29" t="s">
        <v>209</v>
      </c>
      <c r="C29" t="s">
        <v>222</v>
      </c>
      <c r="D29" t="s">
        <v>223</v>
      </c>
      <c r="E29" t="s">
        <v>234</v>
      </c>
      <c r="F29" t="s">
        <v>214</v>
      </c>
      <c r="G29" t="s">
        <v>246</v>
      </c>
      <c r="H29" t="s">
        <v>247</v>
      </c>
    </row>
    <row r="30" spans="1:8" x14ac:dyDescent="0.2">
      <c r="A30" t="s">
        <v>210</v>
      </c>
      <c r="B30" t="s">
        <v>209</v>
      </c>
      <c r="C30" t="s">
        <v>224</v>
      </c>
      <c r="D30" t="s">
        <v>225</v>
      </c>
      <c r="E30" t="s">
        <v>235</v>
      </c>
      <c r="F30" t="s">
        <v>230</v>
      </c>
      <c r="G30" t="s">
        <v>248</v>
      </c>
      <c r="H30" t="s">
        <v>212</v>
      </c>
    </row>
    <row r="31" spans="1:8" x14ac:dyDescent="0.2">
      <c r="A31" t="s">
        <v>211</v>
      </c>
      <c r="B31" t="s">
        <v>212</v>
      </c>
      <c r="C31" t="s">
        <v>293</v>
      </c>
      <c r="D31" t="s">
        <v>230</v>
      </c>
      <c r="E31" t="s">
        <v>236</v>
      </c>
      <c r="F31" t="s">
        <v>237</v>
      </c>
      <c r="G31" t="s">
        <v>249</v>
      </c>
      <c r="H31" t="s">
        <v>212</v>
      </c>
    </row>
    <row r="32" spans="1:8" x14ac:dyDescent="0.2">
      <c r="A32" t="s">
        <v>213</v>
      </c>
      <c r="B32" t="s">
        <v>214</v>
      </c>
      <c r="C32" t="s">
        <v>226</v>
      </c>
      <c r="D32" t="s">
        <v>205</v>
      </c>
      <c r="E32" t="s">
        <v>238</v>
      </c>
      <c r="F32" t="s">
        <v>205</v>
      </c>
      <c r="G32" t="s">
        <v>250</v>
      </c>
      <c r="H32" t="s">
        <v>225</v>
      </c>
    </row>
    <row r="33" spans="1:8" x14ac:dyDescent="0.2">
      <c r="A33" t="s">
        <v>215</v>
      </c>
      <c r="B33" t="s">
        <v>216</v>
      </c>
      <c r="C33" t="s">
        <v>227</v>
      </c>
      <c r="D33" t="s">
        <v>228</v>
      </c>
      <c r="E33" t="s">
        <v>239</v>
      </c>
      <c r="F33" t="s">
        <v>240</v>
      </c>
      <c r="G33" t="s">
        <v>251</v>
      </c>
      <c r="H33" t="s">
        <v>252</v>
      </c>
    </row>
    <row r="35" spans="1:8" x14ac:dyDescent="0.2">
      <c r="A35" t="s">
        <v>820</v>
      </c>
      <c r="B35" t="s">
        <v>259</v>
      </c>
      <c r="C35" t="s">
        <v>263</v>
      </c>
      <c r="D35" t="s">
        <v>260</v>
      </c>
      <c r="E35" t="s">
        <v>261</v>
      </c>
      <c r="F35" t="s">
        <v>262</v>
      </c>
    </row>
    <row r="36" spans="1:8" x14ac:dyDescent="0.2">
      <c r="A36" t="s">
        <v>278</v>
      </c>
      <c r="B36">
        <v>12</v>
      </c>
      <c r="C36">
        <v>16</v>
      </c>
      <c r="D36">
        <v>30</v>
      </c>
      <c r="E36">
        <v>64</v>
      </c>
      <c r="F36">
        <v>64</v>
      </c>
    </row>
    <row r="37" spans="1:8" x14ac:dyDescent="0.2">
      <c r="A37" t="s">
        <v>264</v>
      </c>
      <c r="B37">
        <v>1728</v>
      </c>
      <c r="C37">
        <v>3456</v>
      </c>
      <c r="D37">
        <v>4320</v>
      </c>
      <c r="E37">
        <v>13824</v>
      </c>
      <c r="F37">
        <v>9216</v>
      </c>
    </row>
    <row r="38" spans="1:8" x14ac:dyDescent="0.2">
      <c r="A38" t="s">
        <v>279</v>
      </c>
      <c r="B38">
        <v>20736</v>
      </c>
      <c r="C38">
        <v>41472</v>
      </c>
      <c r="D38">
        <v>51840</v>
      </c>
      <c r="E38">
        <v>165888</v>
      </c>
      <c r="F38">
        <v>110592</v>
      </c>
    </row>
    <row r="39" spans="1:8" x14ac:dyDescent="0.2">
      <c r="A39" t="s">
        <v>265</v>
      </c>
      <c r="B39">
        <v>13</v>
      </c>
      <c r="C39">
        <v>19</v>
      </c>
      <c r="D39">
        <v>12</v>
      </c>
      <c r="E39">
        <v>25</v>
      </c>
      <c r="F39">
        <v>3</v>
      </c>
    </row>
    <row r="40" spans="1:8" x14ac:dyDescent="0.2">
      <c r="A40" t="s">
        <v>266</v>
      </c>
      <c r="B40">
        <v>157</v>
      </c>
      <c r="C40">
        <v>413</v>
      </c>
      <c r="D40">
        <v>1740</v>
      </c>
      <c r="E40">
        <v>4163</v>
      </c>
      <c r="F40">
        <v>32469</v>
      </c>
    </row>
    <row r="41" spans="1:8" x14ac:dyDescent="0.2">
      <c r="A41" t="s">
        <v>267</v>
      </c>
      <c r="B41">
        <v>1583</v>
      </c>
      <c r="C41">
        <v>2161</v>
      </c>
      <c r="D41">
        <v>4175</v>
      </c>
      <c r="E41">
        <v>6469</v>
      </c>
      <c r="F41">
        <v>29041</v>
      </c>
    </row>
    <row r="42" spans="1:8" x14ac:dyDescent="0.2">
      <c r="A42" t="s">
        <v>268</v>
      </c>
      <c r="B42">
        <v>12096</v>
      </c>
      <c r="C42">
        <v>24192</v>
      </c>
      <c r="D42">
        <v>30240</v>
      </c>
      <c r="E42">
        <v>96768</v>
      </c>
      <c r="F42">
        <v>64512</v>
      </c>
    </row>
    <row r="43" spans="1:8" x14ac:dyDescent="0.2">
      <c r="A43" t="s">
        <v>269</v>
      </c>
      <c r="B43">
        <v>13</v>
      </c>
      <c r="C43">
        <v>19</v>
      </c>
      <c r="D43">
        <v>12</v>
      </c>
      <c r="E43">
        <v>26</v>
      </c>
      <c r="F43">
        <v>3</v>
      </c>
    </row>
    <row r="44" spans="1:8" x14ac:dyDescent="0.2">
      <c r="A44" t="s">
        <v>270</v>
      </c>
      <c r="B44">
        <v>15079</v>
      </c>
      <c r="C44">
        <v>32039</v>
      </c>
      <c r="D44">
        <v>63300</v>
      </c>
      <c r="E44">
        <v>52954</v>
      </c>
      <c r="F44">
        <v>510423</v>
      </c>
    </row>
    <row r="45" spans="1:8" x14ac:dyDescent="0.2">
      <c r="A45" t="s">
        <v>271</v>
      </c>
      <c r="B45">
        <v>30077</v>
      </c>
      <c r="C45">
        <v>41059</v>
      </c>
      <c r="D45">
        <v>79325</v>
      </c>
      <c r="E45" s="3">
        <v>122911</v>
      </c>
      <c r="F45">
        <v>551779</v>
      </c>
    </row>
    <row r="46" spans="1:8" x14ac:dyDescent="0.2">
      <c r="A46" t="s">
        <v>274</v>
      </c>
      <c r="C46">
        <v>23328</v>
      </c>
      <c r="F46">
        <v>62208</v>
      </c>
    </row>
    <row r="47" spans="1:8" x14ac:dyDescent="0.2">
      <c r="A47" t="s">
        <v>265</v>
      </c>
      <c r="C47">
        <v>10</v>
      </c>
      <c r="F47">
        <v>2</v>
      </c>
    </row>
    <row r="48" spans="1:8" x14ac:dyDescent="0.2">
      <c r="A48" t="s">
        <v>266</v>
      </c>
      <c r="C48" s="3">
        <v>1718</v>
      </c>
      <c r="F48">
        <v>4126</v>
      </c>
    </row>
    <row r="49" spans="1:6" x14ac:dyDescent="0.2">
      <c r="A49" t="s">
        <v>275</v>
      </c>
      <c r="C49">
        <v>18144</v>
      </c>
      <c r="F49">
        <v>48384</v>
      </c>
    </row>
    <row r="50" spans="1:6" x14ac:dyDescent="0.2">
      <c r="A50" t="s">
        <v>265</v>
      </c>
      <c r="C50">
        <v>8</v>
      </c>
      <c r="F50">
        <v>1</v>
      </c>
    </row>
    <row r="51" spans="1:6" x14ac:dyDescent="0.2">
      <c r="A51" t="s">
        <v>266</v>
      </c>
      <c r="C51">
        <v>856</v>
      </c>
      <c r="F51">
        <v>19343</v>
      </c>
    </row>
    <row r="52" spans="1:6" x14ac:dyDescent="0.2">
      <c r="A52" t="s">
        <v>276</v>
      </c>
      <c r="C52">
        <v>13068</v>
      </c>
      <c r="F52">
        <v>36288</v>
      </c>
    </row>
    <row r="53" spans="1:6" x14ac:dyDescent="0.2">
      <c r="A53" t="s">
        <v>269</v>
      </c>
      <c r="C53">
        <v>11</v>
      </c>
      <c r="F53">
        <v>2</v>
      </c>
    </row>
    <row r="54" spans="1:6" x14ac:dyDescent="0.2">
      <c r="A54" t="s">
        <v>270</v>
      </c>
      <c r="C54">
        <v>5191</v>
      </c>
      <c r="F54">
        <v>114682</v>
      </c>
    </row>
    <row r="55" spans="1:6" x14ac:dyDescent="0.2">
      <c r="A55" t="s">
        <v>277</v>
      </c>
      <c r="C55">
        <v>10584</v>
      </c>
      <c r="F55">
        <v>28224</v>
      </c>
    </row>
    <row r="56" spans="1:6" x14ac:dyDescent="0.2">
      <c r="A56" t="s">
        <v>269</v>
      </c>
      <c r="C56">
        <v>8</v>
      </c>
      <c r="F56">
        <v>1</v>
      </c>
    </row>
    <row r="57" spans="1:6" x14ac:dyDescent="0.2">
      <c r="A57" t="s">
        <v>270</v>
      </c>
      <c r="C57">
        <v>26848</v>
      </c>
      <c r="F57">
        <v>395741</v>
      </c>
    </row>
    <row r="58" spans="1:6" x14ac:dyDescent="0.2">
      <c r="A58" t="s">
        <v>272</v>
      </c>
      <c r="B58">
        <v>7308711</v>
      </c>
      <c r="C58">
        <v>9977337</v>
      </c>
      <c r="D58">
        <v>19275975</v>
      </c>
      <c r="E58">
        <v>29867373</v>
      </c>
      <c r="F58">
        <v>134082297</v>
      </c>
    </row>
    <row r="59" spans="1:6" x14ac:dyDescent="0.2">
      <c r="A59" t="s">
        <v>273</v>
      </c>
      <c r="B59">
        <v>2436237</v>
      </c>
      <c r="C59">
        <v>3325779</v>
      </c>
      <c r="D59">
        <v>6425325</v>
      </c>
      <c r="E59">
        <v>9955791</v>
      </c>
      <c r="F59">
        <v>44694099</v>
      </c>
    </row>
    <row r="61" spans="1:6" x14ac:dyDescent="0.2">
      <c r="A61" t="s">
        <v>219</v>
      </c>
      <c r="B61">
        <v>8</v>
      </c>
      <c r="C61" s="4" t="s">
        <v>220</v>
      </c>
      <c r="D61">
        <v>8</v>
      </c>
    </row>
    <row r="62" spans="1:6" x14ac:dyDescent="0.2">
      <c r="A62" t="s">
        <v>221</v>
      </c>
      <c r="B62">
        <v>20</v>
      </c>
      <c r="C62" s="4" t="s">
        <v>29</v>
      </c>
      <c r="D62">
        <v>12</v>
      </c>
    </row>
    <row r="63" spans="1:6" x14ac:dyDescent="0.2">
      <c r="A63" t="s">
        <v>222</v>
      </c>
      <c r="B63">
        <v>30</v>
      </c>
      <c r="C63" s="4" t="s">
        <v>223</v>
      </c>
      <c r="D63">
        <v>10</v>
      </c>
    </row>
    <row r="64" spans="1:6" x14ac:dyDescent="0.2">
      <c r="A64" t="s">
        <v>224</v>
      </c>
      <c r="B64">
        <v>47</v>
      </c>
      <c r="C64" s="4" t="s">
        <v>225</v>
      </c>
      <c r="D64">
        <v>17</v>
      </c>
    </row>
    <row r="65" spans="1:4" x14ac:dyDescent="0.2">
      <c r="A65" t="s">
        <v>293</v>
      </c>
      <c r="B65">
        <f>47+16</f>
        <v>63</v>
      </c>
      <c r="C65" s="4" t="s">
        <v>230</v>
      </c>
      <c r="D65">
        <v>16</v>
      </c>
    </row>
    <row r="66" spans="1:4" x14ac:dyDescent="0.2">
      <c r="A66" t="s">
        <v>226</v>
      </c>
      <c r="B66">
        <v>72</v>
      </c>
      <c r="C66" s="4" t="s">
        <v>205</v>
      </c>
      <c r="D66">
        <v>9</v>
      </c>
    </row>
    <row r="67" spans="1:4" x14ac:dyDescent="0.2">
      <c r="A67" t="s">
        <v>229</v>
      </c>
      <c r="B67">
        <v>88</v>
      </c>
      <c r="C67" s="4" t="s">
        <v>230</v>
      </c>
      <c r="D67">
        <v>16</v>
      </c>
    </row>
    <row r="68" spans="1:4" x14ac:dyDescent="0.2">
      <c r="A68" t="s">
        <v>231</v>
      </c>
      <c r="B68">
        <v>100</v>
      </c>
      <c r="C68" s="4" t="s">
        <v>29</v>
      </c>
      <c r="D68">
        <v>12</v>
      </c>
    </row>
    <row r="69" spans="1:4" x14ac:dyDescent="0.2">
      <c r="A69" t="s">
        <v>232</v>
      </c>
      <c r="B69">
        <v>114</v>
      </c>
      <c r="C69" s="4" t="s">
        <v>233</v>
      </c>
      <c r="D69">
        <v>14</v>
      </c>
    </row>
    <row r="70" spans="1:4" x14ac:dyDescent="0.2">
      <c r="A70" t="s">
        <v>234</v>
      </c>
      <c r="B70">
        <v>125</v>
      </c>
      <c r="C70" s="4" t="s">
        <v>214</v>
      </c>
      <c r="D70">
        <v>11</v>
      </c>
    </row>
    <row r="71" spans="1:4" x14ac:dyDescent="0.2">
      <c r="A71" t="s">
        <v>235</v>
      </c>
      <c r="B71">
        <v>141</v>
      </c>
      <c r="C71" s="4" t="s">
        <v>230</v>
      </c>
      <c r="D71">
        <v>16</v>
      </c>
    </row>
    <row r="72" spans="1:4" x14ac:dyDescent="0.2">
      <c r="A72" t="s">
        <v>236</v>
      </c>
      <c r="B72">
        <v>143</v>
      </c>
      <c r="C72" s="4" t="s">
        <v>237</v>
      </c>
      <c r="D72">
        <v>2</v>
      </c>
    </row>
    <row r="73" spans="1:4" x14ac:dyDescent="0.2">
      <c r="A73" t="s">
        <v>238</v>
      </c>
      <c r="B73">
        <v>152</v>
      </c>
      <c r="C73" s="4" t="s">
        <v>205</v>
      </c>
      <c r="D73">
        <v>9</v>
      </c>
    </row>
    <row r="74" spans="1:4" x14ac:dyDescent="0.2">
      <c r="A74" t="s">
        <v>241</v>
      </c>
      <c r="B74">
        <v>185</v>
      </c>
      <c r="C74" s="4" t="s">
        <v>242</v>
      </c>
      <c r="D74">
        <v>33</v>
      </c>
    </row>
    <row r="75" spans="1:4" x14ac:dyDescent="0.2">
      <c r="A75" t="s">
        <v>243</v>
      </c>
      <c r="B75">
        <v>189</v>
      </c>
      <c r="C75" s="4" t="s">
        <v>244</v>
      </c>
      <c r="D75">
        <v>4</v>
      </c>
    </row>
    <row r="76" spans="1:4" x14ac:dyDescent="0.2">
      <c r="A76" t="s">
        <v>245</v>
      </c>
      <c r="B76">
        <v>204</v>
      </c>
      <c r="C76" s="4" t="s">
        <v>207</v>
      </c>
      <c r="D76">
        <v>15</v>
      </c>
    </row>
    <row r="77" spans="1:4" x14ac:dyDescent="0.2">
      <c r="A77" t="s">
        <v>246</v>
      </c>
      <c r="B77">
        <v>211</v>
      </c>
      <c r="C77" s="4" t="s">
        <v>247</v>
      </c>
      <c r="D77">
        <v>7</v>
      </c>
    </row>
    <row r="78" spans="1:4" x14ac:dyDescent="0.2">
      <c r="A78" t="s">
        <v>248</v>
      </c>
      <c r="B78">
        <v>229</v>
      </c>
      <c r="C78" s="4" t="s">
        <v>212</v>
      </c>
      <c r="D78">
        <v>18</v>
      </c>
    </row>
    <row r="79" spans="1:4" x14ac:dyDescent="0.2">
      <c r="A79" t="s">
        <v>249</v>
      </c>
      <c r="B79">
        <v>247</v>
      </c>
      <c r="C79" s="4" t="s">
        <v>212</v>
      </c>
      <c r="D79">
        <v>18</v>
      </c>
    </row>
    <row r="80" spans="1:4" x14ac:dyDescent="0.2">
      <c r="A80" t="s">
        <v>250</v>
      </c>
      <c r="B80">
        <v>264</v>
      </c>
      <c r="C80" s="4" t="s">
        <v>225</v>
      </c>
      <c r="D80">
        <v>17</v>
      </c>
    </row>
    <row r="81" spans="1:4" x14ac:dyDescent="0.2">
      <c r="A81" t="s">
        <v>203</v>
      </c>
      <c r="B81">
        <v>276</v>
      </c>
      <c r="C81" s="4" t="s">
        <v>29</v>
      </c>
      <c r="D81">
        <v>12</v>
      </c>
    </row>
    <row r="82" spans="1:4" x14ac:dyDescent="0.2">
      <c r="A82" t="s">
        <v>204</v>
      </c>
      <c r="B82">
        <v>285</v>
      </c>
      <c r="C82" s="4" t="s">
        <v>205</v>
      </c>
      <c r="D82">
        <v>9</v>
      </c>
    </row>
    <row r="83" spans="1:4" x14ac:dyDescent="0.2">
      <c r="A83" t="s">
        <v>206</v>
      </c>
      <c r="B83">
        <v>300</v>
      </c>
      <c r="C83" s="4" t="s">
        <v>207</v>
      </c>
      <c r="D83">
        <v>15</v>
      </c>
    </row>
    <row r="84" spans="1:4" x14ac:dyDescent="0.2">
      <c r="A84" t="s">
        <v>208</v>
      </c>
      <c r="B84">
        <v>305</v>
      </c>
      <c r="C84" s="4" t="s">
        <v>209</v>
      </c>
      <c r="D84">
        <v>5</v>
      </c>
    </row>
    <row r="85" spans="1:4" x14ac:dyDescent="0.2">
      <c r="A85" t="s">
        <v>210</v>
      </c>
      <c r="B85">
        <v>310</v>
      </c>
      <c r="C85" s="4" t="s">
        <v>209</v>
      </c>
      <c r="D85">
        <v>5</v>
      </c>
    </row>
    <row r="86" spans="1:4" x14ac:dyDescent="0.2">
      <c r="A86" t="s">
        <v>211</v>
      </c>
      <c r="B86">
        <v>328</v>
      </c>
      <c r="C86" s="4" t="s">
        <v>212</v>
      </c>
      <c r="D86">
        <v>18</v>
      </c>
    </row>
    <row r="87" spans="1:4" x14ac:dyDescent="0.2">
      <c r="A87" t="s">
        <v>213</v>
      </c>
      <c r="B87">
        <v>339</v>
      </c>
      <c r="C87" s="4" t="s">
        <v>214</v>
      </c>
      <c r="D87">
        <v>11</v>
      </c>
    </row>
    <row r="88" spans="1:4" x14ac:dyDescent="0.2">
      <c r="A88" t="s">
        <v>217</v>
      </c>
      <c r="B88">
        <v>365</v>
      </c>
      <c r="C88" s="4" t="s">
        <v>218</v>
      </c>
      <c r="D88">
        <v>26</v>
      </c>
    </row>
    <row r="90" spans="1:4" x14ac:dyDescent="0.2">
      <c r="A90" t="s">
        <v>351</v>
      </c>
      <c r="B90" t="s">
        <v>352</v>
      </c>
      <c r="C90" s="4" t="s">
        <v>353</v>
      </c>
      <c r="D90" t="s">
        <v>354</v>
      </c>
    </row>
    <row r="91" spans="1:4" x14ac:dyDescent="0.2">
      <c r="A91" t="s">
        <v>348</v>
      </c>
      <c r="B91" t="s">
        <v>330</v>
      </c>
      <c r="C91" t="s">
        <v>336</v>
      </c>
      <c r="D91" t="s">
        <v>342</v>
      </c>
    </row>
    <row r="92" spans="1:4" x14ac:dyDescent="0.2">
      <c r="A92" t="s">
        <v>349</v>
      </c>
      <c r="B92" t="s">
        <v>331</v>
      </c>
      <c r="C92" t="s">
        <v>337</v>
      </c>
      <c r="D92" t="s">
        <v>343</v>
      </c>
    </row>
    <row r="93" spans="1:4" x14ac:dyDescent="0.2">
      <c r="A93" t="s">
        <v>350</v>
      </c>
      <c r="B93" t="s">
        <v>332</v>
      </c>
      <c r="C93" t="s">
        <v>338</v>
      </c>
      <c r="D93" t="s">
        <v>344</v>
      </c>
    </row>
    <row r="94" spans="1:4" x14ac:dyDescent="0.2">
      <c r="A94" t="s">
        <v>327</v>
      </c>
      <c r="B94" t="s">
        <v>333</v>
      </c>
      <c r="C94" t="s">
        <v>339</v>
      </c>
      <c r="D94" t="s">
        <v>345</v>
      </c>
    </row>
    <row r="95" spans="1:4" x14ac:dyDescent="0.2">
      <c r="A95" t="s">
        <v>328</v>
      </c>
      <c r="B95" t="s">
        <v>334</v>
      </c>
      <c r="C95" t="s">
        <v>340</v>
      </c>
      <c r="D95" t="s">
        <v>346</v>
      </c>
    </row>
    <row r="96" spans="1:4" x14ac:dyDescent="0.2">
      <c r="A96" t="s">
        <v>329</v>
      </c>
      <c r="B96" t="s">
        <v>335</v>
      </c>
      <c r="C96" t="s">
        <v>341</v>
      </c>
      <c r="D96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6D8B-0C60-EA41-9E93-B249ECDC25F3}">
  <dimension ref="A1:G29"/>
  <sheetViews>
    <sheetView zoomScale="125"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6" x14ac:dyDescent="0.2"/>
  <cols>
    <col min="1" max="1" width="11.83203125" customWidth="1"/>
    <col min="2" max="2" width="8.83203125" customWidth="1"/>
    <col min="3" max="3" width="10.1640625" customWidth="1"/>
  </cols>
  <sheetData>
    <row r="1" spans="1:5" x14ac:dyDescent="0.2">
      <c r="B1" t="s">
        <v>427</v>
      </c>
      <c r="D1" t="s">
        <v>428</v>
      </c>
    </row>
    <row r="2" spans="1:5" x14ac:dyDescent="0.2">
      <c r="A2" t="s">
        <v>391</v>
      </c>
      <c r="B2" t="s">
        <v>392</v>
      </c>
      <c r="C2" t="s">
        <v>393</v>
      </c>
      <c r="D2" t="s">
        <v>392</v>
      </c>
      <c r="E2" t="s">
        <v>393</v>
      </c>
    </row>
    <row r="3" spans="1:5" x14ac:dyDescent="0.2">
      <c r="A3" t="s">
        <v>394</v>
      </c>
    </row>
    <row r="4" spans="1:5" x14ac:dyDescent="0.2">
      <c r="A4" t="s">
        <v>397</v>
      </c>
      <c r="B4">
        <v>6</v>
      </c>
      <c r="C4" t="s">
        <v>437</v>
      </c>
      <c r="D4">
        <v>1</v>
      </c>
      <c r="E4">
        <v>2</v>
      </c>
    </row>
    <row r="5" spans="1:5" x14ac:dyDescent="0.2">
      <c r="A5" t="s">
        <v>429</v>
      </c>
      <c r="B5">
        <v>8</v>
      </c>
      <c r="C5">
        <v>0</v>
      </c>
      <c r="D5">
        <v>2</v>
      </c>
      <c r="E5">
        <v>0</v>
      </c>
    </row>
    <row r="6" spans="1:5" x14ac:dyDescent="0.2">
      <c r="A6" t="s">
        <v>395</v>
      </c>
      <c r="B6">
        <v>46</v>
      </c>
      <c r="C6" t="s">
        <v>438</v>
      </c>
      <c r="D6">
        <v>7</v>
      </c>
      <c r="E6" t="s">
        <v>450</v>
      </c>
    </row>
    <row r="7" spans="1:5" x14ac:dyDescent="0.2">
      <c r="A7" t="s">
        <v>430</v>
      </c>
      <c r="B7">
        <v>184</v>
      </c>
      <c r="C7" t="s">
        <v>439</v>
      </c>
      <c r="D7">
        <v>18</v>
      </c>
      <c r="E7" t="s">
        <v>451</v>
      </c>
    </row>
    <row r="8" spans="1:5" x14ac:dyDescent="0.2">
      <c r="A8" t="s">
        <v>398</v>
      </c>
      <c r="B8">
        <v>83</v>
      </c>
      <c r="C8" t="s">
        <v>440</v>
      </c>
      <c r="D8" t="s">
        <v>445</v>
      </c>
      <c r="E8" t="s">
        <v>452</v>
      </c>
    </row>
    <row r="9" spans="1:5" x14ac:dyDescent="0.2">
      <c r="A9" t="s">
        <v>431</v>
      </c>
      <c r="B9">
        <v>327</v>
      </c>
      <c r="C9" t="s">
        <v>441</v>
      </c>
      <c r="D9" t="s">
        <v>446</v>
      </c>
      <c r="E9" t="s">
        <v>453</v>
      </c>
    </row>
    <row r="10" spans="1:5" x14ac:dyDescent="0.2">
      <c r="A10" t="s">
        <v>432</v>
      </c>
    </row>
    <row r="11" spans="1:5" x14ac:dyDescent="0.2">
      <c r="A11" t="s">
        <v>395</v>
      </c>
      <c r="B11" t="s">
        <v>457</v>
      </c>
      <c r="C11" t="s">
        <v>439</v>
      </c>
      <c r="D11" t="s">
        <v>447</v>
      </c>
      <c r="E11" t="s">
        <v>451</v>
      </c>
    </row>
    <row r="12" spans="1:5" x14ac:dyDescent="0.2">
      <c r="A12" t="s">
        <v>433</v>
      </c>
      <c r="B12">
        <v>46</v>
      </c>
      <c r="C12" t="s">
        <v>438</v>
      </c>
      <c r="D12">
        <v>7</v>
      </c>
      <c r="E12" t="s">
        <v>450</v>
      </c>
    </row>
    <row r="13" spans="1:5" x14ac:dyDescent="0.2">
      <c r="A13" t="s">
        <v>396</v>
      </c>
      <c r="B13" t="s">
        <v>458</v>
      </c>
      <c r="C13">
        <v>0</v>
      </c>
      <c r="D13" t="s">
        <v>448</v>
      </c>
      <c r="E13">
        <v>0</v>
      </c>
    </row>
    <row r="14" spans="1:5" x14ac:dyDescent="0.2">
      <c r="A14" t="s">
        <v>397</v>
      </c>
      <c r="B14">
        <v>6</v>
      </c>
      <c r="C14" t="s">
        <v>437</v>
      </c>
      <c r="D14">
        <v>1</v>
      </c>
      <c r="E14">
        <v>2</v>
      </c>
    </row>
    <row r="15" spans="1:5" x14ac:dyDescent="0.2">
      <c r="A15" t="s">
        <v>434</v>
      </c>
      <c r="B15" t="s">
        <v>459</v>
      </c>
      <c r="C15" t="s">
        <v>442</v>
      </c>
      <c r="D15">
        <v>24</v>
      </c>
      <c r="E15" t="s">
        <v>454</v>
      </c>
    </row>
    <row r="16" spans="1:5" x14ac:dyDescent="0.2">
      <c r="A16" t="s">
        <v>435</v>
      </c>
      <c r="B16" t="s">
        <v>461</v>
      </c>
      <c r="C16" t="s">
        <v>443</v>
      </c>
      <c r="D16">
        <v>50</v>
      </c>
      <c r="E16" t="s">
        <v>455</v>
      </c>
    </row>
    <row r="17" spans="1:7" x14ac:dyDescent="0.2">
      <c r="A17" t="s">
        <v>436</v>
      </c>
      <c r="B17" t="s">
        <v>460</v>
      </c>
      <c r="C17" t="s">
        <v>444</v>
      </c>
      <c r="D17" t="s">
        <v>449</v>
      </c>
      <c r="E17" t="s">
        <v>456</v>
      </c>
    </row>
    <row r="20" spans="1:7" x14ac:dyDescent="0.2">
      <c r="B20" t="s">
        <v>258</v>
      </c>
      <c r="D20" t="s">
        <v>410</v>
      </c>
      <c r="F20" t="s">
        <v>411</v>
      </c>
    </row>
    <row r="21" spans="1:7" x14ac:dyDescent="0.2">
      <c r="A21" t="s">
        <v>391</v>
      </c>
      <c r="B21" t="s">
        <v>392</v>
      </c>
      <c r="C21" t="s">
        <v>393</v>
      </c>
      <c r="D21" t="s">
        <v>392</v>
      </c>
      <c r="E21" t="s">
        <v>393</v>
      </c>
      <c r="F21" t="s">
        <v>392</v>
      </c>
      <c r="G21" t="s">
        <v>393</v>
      </c>
    </row>
    <row r="22" spans="1:7" x14ac:dyDescent="0.2">
      <c r="A22" t="s">
        <v>395</v>
      </c>
      <c r="B22">
        <v>121</v>
      </c>
      <c r="C22" s="5" t="s">
        <v>401</v>
      </c>
      <c r="D22">
        <v>87</v>
      </c>
      <c r="E22" t="s">
        <v>415</v>
      </c>
      <c r="F22">
        <v>276</v>
      </c>
      <c r="G22" t="s">
        <v>422</v>
      </c>
    </row>
    <row r="23" spans="1:7" x14ac:dyDescent="0.2">
      <c r="A23" t="s">
        <v>396</v>
      </c>
      <c r="B23">
        <v>25</v>
      </c>
      <c r="C23">
        <v>0</v>
      </c>
      <c r="D23">
        <v>34</v>
      </c>
      <c r="E23">
        <v>0</v>
      </c>
      <c r="F23">
        <v>10</v>
      </c>
      <c r="G23">
        <v>0</v>
      </c>
    </row>
    <row r="24" spans="1:7" x14ac:dyDescent="0.2">
      <c r="A24" t="s">
        <v>397</v>
      </c>
      <c r="B24">
        <v>84</v>
      </c>
      <c r="C24" s="5" t="s">
        <v>402</v>
      </c>
      <c r="D24">
        <v>101</v>
      </c>
      <c r="E24" t="s">
        <v>416</v>
      </c>
      <c r="F24">
        <v>62</v>
      </c>
      <c r="G24" t="s">
        <v>423</v>
      </c>
    </row>
    <row r="25" spans="1:7" x14ac:dyDescent="0.2">
      <c r="A25" t="s">
        <v>396</v>
      </c>
      <c r="B25" t="s">
        <v>404</v>
      </c>
      <c r="C25">
        <v>0</v>
      </c>
      <c r="D25" t="s">
        <v>412</v>
      </c>
      <c r="E25">
        <v>0</v>
      </c>
      <c r="F25">
        <v>10</v>
      </c>
      <c r="G25">
        <v>0</v>
      </c>
    </row>
    <row r="26" spans="1:7" x14ac:dyDescent="0.2">
      <c r="A26" t="s">
        <v>395</v>
      </c>
      <c r="B26" t="s">
        <v>405</v>
      </c>
      <c r="C26" s="6" t="s">
        <v>401</v>
      </c>
      <c r="D26">
        <v>85</v>
      </c>
      <c r="E26" t="s">
        <v>415</v>
      </c>
      <c r="F26">
        <v>276</v>
      </c>
      <c r="G26" t="s">
        <v>422</v>
      </c>
    </row>
    <row r="27" spans="1:7" x14ac:dyDescent="0.2">
      <c r="A27" t="s">
        <v>398</v>
      </c>
      <c r="B27" t="s">
        <v>407</v>
      </c>
      <c r="C27" t="s">
        <v>408</v>
      </c>
      <c r="D27" t="s">
        <v>413</v>
      </c>
      <c r="E27" t="s">
        <v>417</v>
      </c>
      <c r="F27" t="s">
        <v>420</v>
      </c>
      <c r="G27" t="s">
        <v>424</v>
      </c>
    </row>
    <row r="28" spans="1:7" x14ac:dyDescent="0.2">
      <c r="A28" t="s">
        <v>399</v>
      </c>
      <c r="B28" t="s">
        <v>406</v>
      </c>
      <c r="C28" t="s">
        <v>409</v>
      </c>
      <c r="D28" t="s">
        <v>414</v>
      </c>
      <c r="E28" t="s">
        <v>418</v>
      </c>
      <c r="F28" t="s">
        <v>421</v>
      </c>
      <c r="G28" t="s">
        <v>425</v>
      </c>
    </row>
    <row r="29" spans="1:7" x14ac:dyDescent="0.2">
      <c r="A29" t="s">
        <v>400</v>
      </c>
      <c r="C29" s="6" t="s">
        <v>403</v>
      </c>
      <c r="E29" t="s">
        <v>419</v>
      </c>
      <c r="G29" t="s">
        <v>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7135-28A1-3B41-B0B0-00DDD9A0C004}">
  <dimension ref="A1:I108"/>
  <sheetViews>
    <sheetView zoomScale="134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baseColWidth="10" defaultRowHeight="16" x14ac:dyDescent="0.2"/>
  <cols>
    <col min="1" max="1" width="14" customWidth="1"/>
  </cols>
  <sheetData>
    <row r="1" spans="1:9" x14ac:dyDescent="0.2">
      <c r="A1" t="s">
        <v>495</v>
      </c>
      <c r="B1" t="s">
        <v>381</v>
      </c>
      <c r="C1" t="s">
        <v>465</v>
      </c>
      <c r="D1" t="s">
        <v>702</v>
      </c>
      <c r="E1" t="s">
        <v>69</v>
      </c>
      <c r="F1" t="s">
        <v>703</v>
      </c>
      <c r="G1" t="s">
        <v>473</v>
      </c>
      <c r="H1" t="s">
        <v>464</v>
      </c>
      <c r="I1" t="s">
        <v>488</v>
      </c>
    </row>
    <row r="2" spans="1:9" x14ac:dyDescent="0.2">
      <c r="A2" t="s">
        <v>466</v>
      </c>
      <c r="B2">
        <v>141480</v>
      </c>
      <c r="C2" t="s">
        <v>467</v>
      </c>
      <c r="D2">
        <f>(143025-B2)+206</f>
        <v>1751</v>
      </c>
    </row>
    <row r="3" spans="1:9" x14ac:dyDescent="0.2">
      <c r="A3" t="s">
        <v>654</v>
      </c>
      <c r="B3">
        <v>141493</v>
      </c>
      <c r="D3">
        <f t="shared" ref="D3:D69" si="0">(143025-B3)+206</f>
        <v>1738</v>
      </c>
      <c r="E3" t="s">
        <v>645</v>
      </c>
      <c r="G3" t="s">
        <v>468</v>
      </c>
    </row>
    <row r="4" spans="1:9" x14ac:dyDescent="0.2">
      <c r="A4" t="s">
        <v>470</v>
      </c>
      <c r="B4">
        <v>141588</v>
      </c>
      <c r="D4">
        <f t="shared" si="0"/>
        <v>1643</v>
      </c>
      <c r="E4" t="s">
        <v>646</v>
      </c>
      <c r="G4" t="s">
        <v>469</v>
      </c>
    </row>
    <row r="5" spans="1:9" x14ac:dyDescent="0.2">
      <c r="A5" t="s">
        <v>474</v>
      </c>
      <c r="B5">
        <v>142097</v>
      </c>
      <c r="C5" t="s">
        <v>105</v>
      </c>
      <c r="D5">
        <f t="shared" si="0"/>
        <v>1134</v>
      </c>
    </row>
    <row r="6" spans="1:9" x14ac:dyDescent="0.2">
      <c r="A6" t="s">
        <v>475</v>
      </c>
      <c r="B6">
        <v>142106</v>
      </c>
      <c r="D6">
        <f t="shared" si="0"/>
        <v>1125</v>
      </c>
      <c r="G6" t="s">
        <v>476</v>
      </c>
    </row>
    <row r="7" spans="1:9" x14ac:dyDescent="0.2">
      <c r="A7" t="s">
        <v>477</v>
      </c>
      <c r="B7">
        <v>142108</v>
      </c>
      <c r="D7">
        <f t="shared" si="0"/>
        <v>1123</v>
      </c>
      <c r="G7" t="s">
        <v>478</v>
      </c>
    </row>
    <row r="8" spans="1:9" x14ac:dyDescent="0.2">
      <c r="A8" t="s">
        <v>479</v>
      </c>
      <c r="B8" s="3">
        <v>142109</v>
      </c>
      <c r="C8" t="s">
        <v>471</v>
      </c>
      <c r="D8">
        <f t="shared" si="0"/>
        <v>1122</v>
      </c>
      <c r="F8" t="s">
        <v>704</v>
      </c>
      <c r="G8" t="s">
        <v>480</v>
      </c>
      <c r="I8" t="s">
        <v>711</v>
      </c>
    </row>
    <row r="9" spans="1:9" x14ac:dyDescent="0.2">
      <c r="A9" t="s">
        <v>481</v>
      </c>
      <c r="B9">
        <v>142116</v>
      </c>
      <c r="D9">
        <f t="shared" si="0"/>
        <v>1115</v>
      </c>
      <c r="G9" t="s">
        <v>482</v>
      </c>
    </row>
    <row r="10" spans="1:9" x14ac:dyDescent="0.2">
      <c r="A10" t="s">
        <v>483</v>
      </c>
      <c r="B10">
        <v>142121</v>
      </c>
      <c r="D10">
        <f t="shared" si="0"/>
        <v>1110</v>
      </c>
      <c r="E10" t="s">
        <v>647</v>
      </c>
      <c r="G10" t="s">
        <v>484</v>
      </c>
    </row>
    <row r="11" spans="1:9" x14ac:dyDescent="0.2">
      <c r="A11" t="s">
        <v>782</v>
      </c>
      <c r="B11">
        <v>142123</v>
      </c>
      <c r="D11">
        <f t="shared" si="0"/>
        <v>1108</v>
      </c>
    </row>
    <row r="12" spans="1:9" x14ac:dyDescent="0.2">
      <c r="A12" t="s">
        <v>486</v>
      </c>
      <c r="B12">
        <v>142124</v>
      </c>
      <c r="D12">
        <f t="shared" si="0"/>
        <v>1107</v>
      </c>
      <c r="H12" t="s">
        <v>485</v>
      </c>
      <c r="I12" t="s">
        <v>487</v>
      </c>
    </row>
    <row r="13" spans="1:9" x14ac:dyDescent="0.2">
      <c r="A13" t="s">
        <v>781</v>
      </c>
      <c r="B13">
        <v>142153</v>
      </c>
      <c r="D13">
        <f>(143025-B13)+206</f>
        <v>1078</v>
      </c>
      <c r="G13" t="s">
        <v>489</v>
      </c>
      <c r="I13" t="s">
        <v>490</v>
      </c>
    </row>
    <row r="14" spans="1:9" x14ac:dyDescent="0.2">
      <c r="A14" t="s">
        <v>491</v>
      </c>
      <c r="B14">
        <v>142165</v>
      </c>
      <c r="D14">
        <f t="shared" si="0"/>
        <v>1066</v>
      </c>
      <c r="I14" t="s">
        <v>492</v>
      </c>
    </row>
    <row r="15" spans="1:9" x14ac:dyDescent="0.2">
      <c r="A15" t="s">
        <v>493</v>
      </c>
      <c r="B15">
        <v>142169</v>
      </c>
      <c r="D15">
        <f t="shared" si="0"/>
        <v>1062</v>
      </c>
      <c r="H15" t="s">
        <v>496</v>
      </c>
    </row>
    <row r="16" spans="1:9" x14ac:dyDescent="0.2">
      <c r="A16" t="s">
        <v>497</v>
      </c>
      <c r="B16">
        <v>142173</v>
      </c>
      <c r="D16">
        <f t="shared" si="0"/>
        <v>1058</v>
      </c>
    </row>
    <row r="17" spans="1:7" x14ac:dyDescent="0.2">
      <c r="A17" t="s">
        <v>498</v>
      </c>
      <c r="B17">
        <v>142197</v>
      </c>
      <c r="D17">
        <f t="shared" si="0"/>
        <v>1034</v>
      </c>
      <c r="E17" t="s">
        <v>648</v>
      </c>
      <c r="G17" t="s">
        <v>501</v>
      </c>
    </row>
    <row r="18" spans="1:7" x14ac:dyDescent="0.2">
      <c r="A18" t="s">
        <v>503</v>
      </c>
      <c r="B18">
        <v>142233</v>
      </c>
      <c r="D18">
        <f t="shared" si="0"/>
        <v>998</v>
      </c>
    </row>
    <row r="19" spans="1:7" x14ac:dyDescent="0.2">
      <c r="A19" t="s">
        <v>499</v>
      </c>
      <c r="B19">
        <v>142247</v>
      </c>
      <c r="D19">
        <f t="shared" si="0"/>
        <v>984</v>
      </c>
    </row>
    <row r="20" spans="1:7" x14ac:dyDescent="0.2">
      <c r="A20" t="s">
        <v>500</v>
      </c>
      <c r="B20">
        <v>142273</v>
      </c>
      <c r="D20">
        <f t="shared" si="0"/>
        <v>958</v>
      </c>
      <c r="E20" t="s">
        <v>649</v>
      </c>
      <c r="G20" t="s">
        <v>502</v>
      </c>
    </row>
    <row r="21" spans="1:7" x14ac:dyDescent="0.2">
      <c r="A21" t="s">
        <v>504</v>
      </c>
      <c r="B21">
        <v>142297</v>
      </c>
      <c r="D21">
        <f t="shared" si="0"/>
        <v>934</v>
      </c>
    </row>
    <row r="22" spans="1:7" x14ac:dyDescent="0.2">
      <c r="A22" t="s">
        <v>505</v>
      </c>
      <c r="B22">
        <v>142334</v>
      </c>
      <c r="D22">
        <f t="shared" si="0"/>
        <v>897</v>
      </c>
    </row>
    <row r="23" spans="1:7" x14ac:dyDescent="0.2">
      <c r="A23" t="s">
        <v>506</v>
      </c>
      <c r="B23">
        <v>142349</v>
      </c>
      <c r="D23">
        <f t="shared" si="0"/>
        <v>882</v>
      </c>
      <c r="E23" t="s">
        <v>650</v>
      </c>
      <c r="G23" t="s">
        <v>507</v>
      </c>
    </row>
    <row r="24" spans="1:7" x14ac:dyDescent="0.2">
      <c r="A24" t="s">
        <v>508</v>
      </c>
      <c r="B24">
        <v>142384</v>
      </c>
      <c r="D24">
        <f t="shared" si="0"/>
        <v>847</v>
      </c>
    </row>
    <row r="25" spans="1:7" x14ac:dyDescent="0.2">
      <c r="A25" t="s">
        <v>509</v>
      </c>
      <c r="B25">
        <v>142414</v>
      </c>
      <c r="D25">
        <f t="shared" si="0"/>
        <v>817</v>
      </c>
    </row>
    <row r="26" spans="1:7" x14ac:dyDescent="0.2">
      <c r="A26" t="s">
        <v>510</v>
      </c>
      <c r="B26">
        <v>142416</v>
      </c>
      <c r="D26">
        <f t="shared" si="0"/>
        <v>815</v>
      </c>
    </row>
    <row r="27" spans="1:7" x14ac:dyDescent="0.2">
      <c r="A27" t="s">
        <v>511</v>
      </c>
      <c r="B27">
        <v>142425</v>
      </c>
      <c r="D27">
        <f t="shared" si="0"/>
        <v>806</v>
      </c>
      <c r="E27" t="s">
        <v>651</v>
      </c>
      <c r="G27" t="s">
        <v>512</v>
      </c>
    </row>
    <row r="28" spans="1:7" x14ac:dyDescent="0.2">
      <c r="A28" t="s">
        <v>513</v>
      </c>
      <c r="B28">
        <v>142436</v>
      </c>
      <c r="D28">
        <f t="shared" si="0"/>
        <v>795</v>
      </c>
    </row>
    <row r="29" spans="1:7" x14ac:dyDescent="0.2">
      <c r="A29" t="s">
        <v>514</v>
      </c>
      <c r="B29">
        <v>142463</v>
      </c>
      <c r="D29">
        <f t="shared" si="0"/>
        <v>768</v>
      </c>
    </row>
    <row r="30" spans="1:7" x14ac:dyDescent="0.2">
      <c r="A30" t="s">
        <v>515</v>
      </c>
      <c r="B30">
        <v>142501</v>
      </c>
      <c r="D30">
        <f t="shared" si="0"/>
        <v>730</v>
      </c>
      <c r="E30" t="s">
        <v>516</v>
      </c>
      <c r="G30" t="s">
        <v>517</v>
      </c>
    </row>
    <row r="31" spans="1:7" x14ac:dyDescent="0.2">
      <c r="A31" t="s">
        <v>518</v>
      </c>
      <c r="B31" s="3">
        <v>142509</v>
      </c>
      <c r="D31">
        <f t="shared" si="0"/>
        <v>722</v>
      </c>
      <c r="G31" t="s">
        <v>522</v>
      </c>
    </row>
    <row r="32" spans="1:7" x14ac:dyDescent="0.2">
      <c r="A32" t="s">
        <v>519</v>
      </c>
      <c r="B32" s="3">
        <v>142509</v>
      </c>
      <c r="D32">
        <f t="shared" si="0"/>
        <v>722</v>
      </c>
    </row>
    <row r="33" spans="1:9" x14ac:dyDescent="0.2">
      <c r="A33" t="s">
        <v>521</v>
      </c>
      <c r="B33">
        <v>142520</v>
      </c>
      <c r="D33">
        <f t="shared" si="0"/>
        <v>711</v>
      </c>
      <c r="H33" t="s">
        <v>520</v>
      </c>
    </row>
    <row r="34" spans="1:9" x14ac:dyDescent="0.2">
      <c r="A34" t="s">
        <v>523</v>
      </c>
      <c r="B34">
        <v>142538</v>
      </c>
      <c r="D34">
        <f t="shared" si="0"/>
        <v>693</v>
      </c>
    </row>
    <row r="35" spans="1:9" x14ac:dyDescent="0.2">
      <c r="A35" t="s">
        <v>524</v>
      </c>
      <c r="B35">
        <v>142570</v>
      </c>
      <c r="D35">
        <f t="shared" si="0"/>
        <v>661</v>
      </c>
    </row>
    <row r="36" spans="1:9" x14ac:dyDescent="0.2">
      <c r="A36" t="s">
        <v>525</v>
      </c>
      <c r="B36">
        <v>142572</v>
      </c>
      <c r="D36">
        <f t="shared" si="0"/>
        <v>659</v>
      </c>
    </row>
    <row r="37" spans="1:9" x14ac:dyDescent="0.2">
      <c r="A37" t="s">
        <v>472</v>
      </c>
      <c r="B37" s="3">
        <v>142577</v>
      </c>
      <c r="C37" t="s">
        <v>123</v>
      </c>
      <c r="D37">
        <f t="shared" si="0"/>
        <v>654</v>
      </c>
      <c r="E37" t="s">
        <v>652</v>
      </c>
      <c r="G37" t="s">
        <v>526</v>
      </c>
      <c r="I37" t="s">
        <v>527</v>
      </c>
    </row>
    <row r="38" spans="1:9" x14ac:dyDescent="0.2">
      <c r="A38" t="s">
        <v>528</v>
      </c>
      <c r="B38">
        <v>142588</v>
      </c>
      <c r="C38" t="s">
        <v>117</v>
      </c>
      <c r="D38">
        <f t="shared" si="0"/>
        <v>643</v>
      </c>
    </row>
    <row r="39" spans="1:9" x14ac:dyDescent="0.2">
      <c r="A39" t="s">
        <v>529</v>
      </c>
      <c r="B39">
        <v>142596</v>
      </c>
      <c r="C39" t="s">
        <v>137</v>
      </c>
      <c r="D39">
        <f t="shared" si="0"/>
        <v>635</v>
      </c>
    </row>
    <row r="40" spans="1:9" x14ac:dyDescent="0.2">
      <c r="A40" t="s">
        <v>530</v>
      </c>
      <c r="B40">
        <v>142605</v>
      </c>
      <c r="D40">
        <f t="shared" si="0"/>
        <v>626</v>
      </c>
    </row>
    <row r="41" spans="1:9" x14ac:dyDescent="0.2">
      <c r="A41" t="s">
        <v>531</v>
      </c>
      <c r="B41">
        <v>142606</v>
      </c>
      <c r="D41">
        <f t="shared" si="0"/>
        <v>625</v>
      </c>
      <c r="F41" t="s">
        <v>705</v>
      </c>
      <c r="G41" t="s">
        <v>532</v>
      </c>
    </row>
    <row r="42" spans="1:9" x14ac:dyDescent="0.2">
      <c r="A42" t="s">
        <v>533</v>
      </c>
      <c r="B42">
        <v>142611</v>
      </c>
      <c r="D42">
        <f t="shared" si="0"/>
        <v>620</v>
      </c>
      <c r="F42" t="s">
        <v>534</v>
      </c>
    </row>
    <row r="43" spans="1:9" x14ac:dyDescent="0.2">
      <c r="A43" t="s">
        <v>768</v>
      </c>
      <c r="B43">
        <v>142616</v>
      </c>
      <c r="D43">
        <f t="shared" si="0"/>
        <v>615</v>
      </c>
      <c r="I43" t="s">
        <v>769</v>
      </c>
    </row>
    <row r="44" spans="1:9" x14ac:dyDescent="0.2">
      <c r="A44" t="s">
        <v>535</v>
      </c>
      <c r="B44">
        <v>142623</v>
      </c>
      <c r="D44">
        <f t="shared" si="0"/>
        <v>608</v>
      </c>
    </row>
    <row r="45" spans="1:9" x14ac:dyDescent="0.2">
      <c r="A45" t="s">
        <v>536</v>
      </c>
      <c r="B45">
        <v>142641</v>
      </c>
      <c r="D45">
        <f t="shared" si="0"/>
        <v>590</v>
      </c>
    </row>
    <row r="46" spans="1:9" x14ac:dyDescent="0.2">
      <c r="A46" t="s">
        <v>537</v>
      </c>
      <c r="B46">
        <v>142653</v>
      </c>
      <c r="D46">
        <f t="shared" si="0"/>
        <v>578</v>
      </c>
      <c r="E46" t="s">
        <v>538</v>
      </c>
      <c r="G46" t="s">
        <v>539</v>
      </c>
    </row>
    <row r="47" spans="1:9" x14ac:dyDescent="0.2">
      <c r="A47" t="s">
        <v>540</v>
      </c>
      <c r="B47">
        <v>142659</v>
      </c>
      <c r="D47">
        <f t="shared" si="0"/>
        <v>572</v>
      </c>
    </row>
    <row r="48" spans="1:9" x14ac:dyDescent="0.2">
      <c r="A48" t="s">
        <v>541</v>
      </c>
      <c r="B48">
        <v>142686</v>
      </c>
      <c r="D48">
        <f t="shared" si="0"/>
        <v>545</v>
      </c>
      <c r="F48" t="s">
        <v>706</v>
      </c>
      <c r="G48" t="s">
        <v>542</v>
      </c>
    </row>
    <row r="49" spans="1:8" x14ac:dyDescent="0.2">
      <c r="A49" t="s">
        <v>708</v>
      </c>
      <c r="B49">
        <v>142687</v>
      </c>
      <c r="C49" t="s">
        <v>65</v>
      </c>
      <c r="D49">
        <f t="shared" si="0"/>
        <v>544</v>
      </c>
      <c r="G49" t="s">
        <v>709</v>
      </c>
    </row>
    <row r="50" spans="1:8" x14ac:dyDescent="0.2">
      <c r="A50" t="s">
        <v>543</v>
      </c>
      <c r="B50">
        <v>142689</v>
      </c>
      <c r="C50" t="s">
        <v>544</v>
      </c>
      <c r="D50">
        <f t="shared" si="0"/>
        <v>542</v>
      </c>
    </row>
    <row r="51" spans="1:8" x14ac:dyDescent="0.2">
      <c r="A51" t="s">
        <v>545</v>
      </c>
      <c r="B51">
        <v>142690</v>
      </c>
      <c r="C51" t="s">
        <v>83</v>
      </c>
      <c r="D51">
        <f t="shared" si="0"/>
        <v>541</v>
      </c>
      <c r="G51" t="s">
        <v>546</v>
      </c>
    </row>
    <row r="52" spans="1:8" x14ac:dyDescent="0.2">
      <c r="A52" t="s">
        <v>547</v>
      </c>
      <c r="B52">
        <v>142698</v>
      </c>
      <c r="C52" t="s">
        <v>129</v>
      </c>
      <c r="D52">
        <f t="shared" si="0"/>
        <v>533</v>
      </c>
    </row>
    <row r="53" spans="1:8" x14ac:dyDescent="0.2">
      <c r="A53" t="s">
        <v>548</v>
      </c>
      <c r="B53">
        <v>142700</v>
      </c>
      <c r="C53" t="s">
        <v>71</v>
      </c>
      <c r="D53">
        <f t="shared" si="0"/>
        <v>531</v>
      </c>
    </row>
    <row r="54" spans="1:8" x14ac:dyDescent="0.2">
      <c r="A54" t="s">
        <v>549</v>
      </c>
      <c r="B54">
        <v>142708</v>
      </c>
      <c r="D54">
        <f t="shared" si="0"/>
        <v>523</v>
      </c>
      <c r="G54" t="s">
        <v>550</v>
      </c>
    </row>
    <row r="55" spans="1:8" x14ac:dyDescent="0.2">
      <c r="A55" t="s">
        <v>551</v>
      </c>
      <c r="B55">
        <v>142710</v>
      </c>
      <c r="D55">
        <f t="shared" si="0"/>
        <v>521</v>
      </c>
      <c r="E55" t="s">
        <v>553</v>
      </c>
      <c r="F55" t="s">
        <v>707</v>
      </c>
      <c r="G55" t="s">
        <v>552</v>
      </c>
      <c r="H55" t="s">
        <v>554</v>
      </c>
    </row>
    <row r="56" spans="1:8" x14ac:dyDescent="0.2">
      <c r="A56" t="s">
        <v>555</v>
      </c>
      <c r="B56">
        <v>142722</v>
      </c>
      <c r="C56" t="s">
        <v>65</v>
      </c>
      <c r="D56">
        <f t="shared" si="0"/>
        <v>509</v>
      </c>
      <c r="G56" t="s">
        <v>556</v>
      </c>
    </row>
    <row r="57" spans="1:8" x14ac:dyDescent="0.2">
      <c r="A57" t="s">
        <v>557</v>
      </c>
      <c r="B57">
        <v>142729</v>
      </c>
      <c r="D57">
        <f t="shared" si="0"/>
        <v>502</v>
      </c>
      <c r="E57" t="s">
        <v>558</v>
      </c>
      <c r="G57" t="s">
        <v>575</v>
      </c>
    </row>
    <row r="58" spans="1:8" x14ac:dyDescent="0.2">
      <c r="A58" t="s">
        <v>559</v>
      </c>
      <c r="B58">
        <v>142737</v>
      </c>
      <c r="D58">
        <f t="shared" si="0"/>
        <v>494</v>
      </c>
    </row>
    <row r="59" spans="1:8" x14ac:dyDescent="0.2">
      <c r="A59" t="s">
        <v>560</v>
      </c>
      <c r="B59">
        <v>142749</v>
      </c>
      <c r="D59">
        <f t="shared" si="0"/>
        <v>482</v>
      </c>
      <c r="H59" t="s">
        <v>561</v>
      </c>
    </row>
    <row r="60" spans="1:8" x14ac:dyDescent="0.2">
      <c r="A60" t="s">
        <v>563</v>
      </c>
      <c r="B60">
        <v>142751</v>
      </c>
      <c r="D60">
        <f t="shared" si="0"/>
        <v>480</v>
      </c>
      <c r="G60" t="s">
        <v>564</v>
      </c>
    </row>
    <row r="61" spans="1:8" x14ac:dyDescent="0.2">
      <c r="A61" t="s">
        <v>562</v>
      </c>
      <c r="B61">
        <v>142764</v>
      </c>
      <c r="D61">
        <f t="shared" si="0"/>
        <v>467</v>
      </c>
    </row>
    <row r="62" spans="1:8" x14ac:dyDescent="0.2">
      <c r="A62" t="s">
        <v>565</v>
      </c>
      <c r="B62">
        <v>142801</v>
      </c>
      <c r="D62">
        <f t="shared" si="0"/>
        <v>430</v>
      </c>
    </row>
    <row r="63" spans="1:8" x14ac:dyDescent="0.2">
      <c r="A63" t="s">
        <v>566</v>
      </c>
      <c r="B63">
        <v>142805</v>
      </c>
      <c r="D63">
        <f t="shared" si="0"/>
        <v>426</v>
      </c>
      <c r="E63" t="s">
        <v>567</v>
      </c>
      <c r="G63" t="s">
        <v>568</v>
      </c>
    </row>
    <row r="64" spans="1:8" x14ac:dyDescent="0.2">
      <c r="A64" t="s">
        <v>569</v>
      </c>
      <c r="B64">
        <v>142822</v>
      </c>
      <c r="D64">
        <f t="shared" si="0"/>
        <v>409</v>
      </c>
    </row>
    <row r="65" spans="1:8" x14ac:dyDescent="0.2">
      <c r="A65" t="s">
        <v>570</v>
      </c>
      <c r="B65">
        <v>142855</v>
      </c>
      <c r="D65">
        <f t="shared" si="0"/>
        <v>376</v>
      </c>
    </row>
    <row r="66" spans="1:8" x14ac:dyDescent="0.2">
      <c r="A66" t="s">
        <v>571</v>
      </c>
      <c r="B66">
        <v>142877</v>
      </c>
      <c r="D66">
        <f t="shared" si="0"/>
        <v>354</v>
      </c>
    </row>
    <row r="67" spans="1:8" x14ac:dyDescent="0.2">
      <c r="A67" t="s">
        <v>572</v>
      </c>
      <c r="B67">
        <v>142881</v>
      </c>
      <c r="D67">
        <f t="shared" si="0"/>
        <v>350</v>
      </c>
      <c r="E67" t="s">
        <v>573</v>
      </c>
      <c r="G67" t="s">
        <v>574</v>
      </c>
    </row>
    <row r="68" spans="1:8" x14ac:dyDescent="0.2">
      <c r="A68" t="s">
        <v>576</v>
      </c>
      <c r="B68">
        <v>142886</v>
      </c>
      <c r="D68">
        <f t="shared" si="0"/>
        <v>345</v>
      </c>
    </row>
    <row r="69" spans="1:8" x14ac:dyDescent="0.2">
      <c r="A69" t="s">
        <v>577</v>
      </c>
      <c r="B69">
        <v>142915</v>
      </c>
      <c r="D69">
        <f t="shared" si="0"/>
        <v>316</v>
      </c>
    </row>
    <row r="70" spans="1:8" x14ac:dyDescent="0.2">
      <c r="A70" t="s">
        <v>578</v>
      </c>
      <c r="B70">
        <v>142935</v>
      </c>
      <c r="D70">
        <f t="shared" ref="D70:D102" si="1">(143025-B70)+206</f>
        <v>296</v>
      </c>
    </row>
    <row r="71" spans="1:8" x14ac:dyDescent="0.2">
      <c r="A71" t="s">
        <v>579</v>
      </c>
      <c r="B71">
        <v>142957</v>
      </c>
      <c r="D71">
        <f t="shared" si="1"/>
        <v>274</v>
      </c>
      <c r="E71" t="s">
        <v>580</v>
      </c>
      <c r="G71" t="s">
        <v>581</v>
      </c>
    </row>
    <row r="72" spans="1:8" x14ac:dyDescent="0.2">
      <c r="A72" t="s">
        <v>582</v>
      </c>
      <c r="B72">
        <v>142958</v>
      </c>
      <c r="D72">
        <f t="shared" si="1"/>
        <v>273</v>
      </c>
    </row>
    <row r="73" spans="1:8" x14ac:dyDescent="0.2">
      <c r="A73" t="s">
        <v>583</v>
      </c>
      <c r="B73">
        <v>142976</v>
      </c>
      <c r="D73">
        <f t="shared" si="1"/>
        <v>255</v>
      </c>
      <c r="G73" t="s">
        <v>585</v>
      </c>
      <c r="H73" t="s">
        <v>584</v>
      </c>
    </row>
    <row r="74" spans="1:8" x14ac:dyDescent="0.2">
      <c r="A74" t="s">
        <v>586</v>
      </c>
      <c r="B74">
        <v>142981</v>
      </c>
      <c r="D74">
        <f t="shared" si="1"/>
        <v>250</v>
      </c>
    </row>
    <row r="75" spans="1:8" x14ac:dyDescent="0.2">
      <c r="A75" t="s">
        <v>590</v>
      </c>
      <c r="B75">
        <v>142982</v>
      </c>
      <c r="D75">
        <f t="shared" si="1"/>
        <v>249</v>
      </c>
    </row>
    <row r="76" spans="1:8" x14ac:dyDescent="0.2">
      <c r="A76" t="s">
        <v>588</v>
      </c>
      <c r="B76">
        <v>142985</v>
      </c>
      <c r="D76">
        <f t="shared" si="1"/>
        <v>246</v>
      </c>
      <c r="H76" t="s">
        <v>587</v>
      </c>
    </row>
    <row r="77" spans="1:8" x14ac:dyDescent="0.2">
      <c r="A77" t="s">
        <v>589</v>
      </c>
      <c r="B77">
        <v>143022</v>
      </c>
      <c r="D77">
        <f t="shared" si="1"/>
        <v>209</v>
      </c>
    </row>
    <row r="78" spans="1:8" x14ac:dyDescent="0.2">
      <c r="A78" t="s">
        <v>591</v>
      </c>
      <c r="B78" s="3">
        <v>143025</v>
      </c>
      <c r="C78" t="s">
        <v>593</v>
      </c>
      <c r="D78">
        <f t="shared" si="1"/>
        <v>206</v>
      </c>
      <c r="G78" t="s">
        <v>592</v>
      </c>
    </row>
    <row r="79" spans="1:8" x14ac:dyDescent="0.2">
      <c r="A79" t="s">
        <v>594</v>
      </c>
      <c r="B79">
        <v>143032</v>
      </c>
      <c r="D79">
        <f t="shared" si="1"/>
        <v>199</v>
      </c>
      <c r="E79" t="s">
        <v>595</v>
      </c>
      <c r="G79" t="s">
        <v>596</v>
      </c>
    </row>
    <row r="80" spans="1:8" x14ac:dyDescent="0.2">
      <c r="A80" t="s">
        <v>597</v>
      </c>
      <c r="B80">
        <v>143036</v>
      </c>
      <c r="D80">
        <f t="shared" si="1"/>
        <v>195</v>
      </c>
    </row>
    <row r="81" spans="1:7" x14ac:dyDescent="0.2">
      <c r="A81" t="s">
        <v>598</v>
      </c>
      <c r="B81">
        <v>143043</v>
      </c>
      <c r="D81">
        <f t="shared" si="1"/>
        <v>188</v>
      </c>
    </row>
    <row r="82" spans="1:7" x14ac:dyDescent="0.2">
      <c r="A82" t="s">
        <v>599</v>
      </c>
      <c r="B82">
        <v>143051</v>
      </c>
      <c r="D82">
        <f t="shared" si="1"/>
        <v>180</v>
      </c>
      <c r="G82" t="s">
        <v>600</v>
      </c>
    </row>
    <row r="83" spans="1:7" x14ac:dyDescent="0.2">
      <c r="A83" t="s">
        <v>601</v>
      </c>
      <c r="B83">
        <v>143074</v>
      </c>
      <c r="D83">
        <f t="shared" si="1"/>
        <v>157</v>
      </c>
      <c r="G83" t="s">
        <v>602</v>
      </c>
    </row>
    <row r="84" spans="1:7" x14ac:dyDescent="0.2">
      <c r="A84" t="s">
        <v>603</v>
      </c>
      <c r="B84">
        <v>143090</v>
      </c>
      <c r="D84">
        <f t="shared" si="1"/>
        <v>141</v>
      </c>
      <c r="G84" t="s">
        <v>604</v>
      </c>
    </row>
    <row r="85" spans="1:7" x14ac:dyDescent="0.2">
      <c r="A85" t="s">
        <v>605</v>
      </c>
      <c r="B85">
        <v>143096</v>
      </c>
      <c r="D85">
        <f t="shared" si="1"/>
        <v>135</v>
      </c>
    </row>
    <row r="86" spans="1:7" x14ac:dyDescent="0.2">
      <c r="A86" t="s">
        <v>606</v>
      </c>
      <c r="B86">
        <v>143102</v>
      </c>
      <c r="D86">
        <f t="shared" si="1"/>
        <v>129</v>
      </c>
    </row>
    <row r="87" spans="1:7" x14ac:dyDescent="0.2">
      <c r="A87" t="s">
        <v>607</v>
      </c>
      <c r="B87">
        <v>143108</v>
      </c>
      <c r="D87">
        <f t="shared" si="1"/>
        <v>123</v>
      </c>
      <c r="E87" t="s">
        <v>608</v>
      </c>
      <c r="G87" t="s">
        <v>609</v>
      </c>
    </row>
    <row r="88" spans="1:7" x14ac:dyDescent="0.2">
      <c r="A88" t="s">
        <v>610</v>
      </c>
      <c r="B88">
        <v>143114</v>
      </c>
      <c r="D88">
        <f t="shared" si="1"/>
        <v>117</v>
      </c>
    </row>
    <row r="89" spans="1:7" x14ac:dyDescent="0.2">
      <c r="A89" t="s">
        <v>611</v>
      </c>
      <c r="B89">
        <v>143120</v>
      </c>
      <c r="D89">
        <f t="shared" si="1"/>
        <v>111</v>
      </c>
    </row>
    <row r="90" spans="1:7" x14ac:dyDescent="0.2">
      <c r="A90" t="s">
        <v>612</v>
      </c>
      <c r="B90">
        <v>143126</v>
      </c>
      <c r="D90">
        <f t="shared" si="1"/>
        <v>105</v>
      </c>
    </row>
    <row r="91" spans="1:7" x14ac:dyDescent="0.2">
      <c r="A91" t="s">
        <v>653</v>
      </c>
      <c r="B91" s="3">
        <v>143127</v>
      </c>
      <c r="C91" t="s">
        <v>615</v>
      </c>
      <c r="D91">
        <f t="shared" si="1"/>
        <v>104</v>
      </c>
      <c r="E91" t="s">
        <v>614</v>
      </c>
      <c r="G91" t="s">
        <v>613</v>
      </c>
    </row>
    <row r="92" spans="1:7" x14ac:dyDescent="0.2">
      <c r="A92" t="s">
        <v>616</v>
      </c>
      <c r="B92" s="7">
        <v>143130</v>
      </c>
      <c r="D92">
        <f t="shared" si="1"/>
        <v>101</v>
      </c>
    </row>
    <row r="93" spans="1:7" x14ac:dyDescent="0.2">
      <c r="A93" t="s">
        <v>617</v>
      </c>
      <c r="B93" s="7">
        <v>143134</v>
      </c>
      <c r="D93">
        <f t="shared" si="1"/>
        <v>97</v>
      </c>
    </row>
    <row r="94" spans="1:7" x14ac:dyDescent="0.2">
      <c r="A94" t="s">
        <v>618</v>
      </c>
      <c r="B94" s="7">
        <v>143138</v>
      </c>
      <c r="D94">
        <f t="shared" si="1"/>
        <v>93</v>
      </c>
    </row>
    <row r="95" spans="1:7" x14ac:dyDescent="0.2">
      <c r="A95" t="s">
        <v>619</v>
      </c>
      <c r="B95" s="7">
        <v>143142</v>
      </c>
      <c r="D95">
        <f t="shared" si="1"/>
        <v>89</v>
      </c>
    </row>
    <row r="96" spans="1:7" x14ac:dyDescent="0.2">
      <c r="A96" t="s">
        <v>620</v>
      </c>
      <c r="B96" s="7">
        <v>143144</v>
      </c>
      <c r="D96">
        <f t="shared" si="1"/>
        <v>87</v>
      </c>
      <c r="G96" t="s">
        <v>621</v>
      </c>
    </row>
    <row r="97" spans="1:7" x14ac:dyDescent="0.2">
      <c r="A97" t="s">
        <v>622</v>
      </c>
      <c r="B97" s="7">
        <v>143157</v>
      </c>
      <c r="D97">
        <f t="shared" si="1"/>
        <v>74</v>
      </c>
      <c r="G97" t="s">
        <v>623</v>
      </c>
    </row>
    <row r="98" spans="1:7" x14ac:dyDescent="0.2">
      <c r="A98" t="s">
        <v>624</v>
      </c>
      <c r="B98" s="7">
        <v>143182</v>
      </c>
      <c r="D98">
        <f t="shared" si="1"/>
        <v>49</v>
      </c>
      <c r="G98" t="s">
        <v>625</v>
      </c>
    </row>
    <row r="99" spans="1:7" x14ac:dyDescent="0.2">
      <c r="A99" t="s">
        <v>626</v>
      </c>
      <c r="B99" s="7">
        <v>143184</v>
      </c>
      <c r="D99">
        <f t="shared" si="1"/>
        <v>47</v>
      </c>
      <c r="E99" t="s">
        <v>627</v>
      </c>
      <c r="G99" t="s">
        <v>628</v>
      </c>
    </row>
    <row r="100" spans="1:7" x14ac:dyDescent="0.2">
      <c r="A100" t="s">
        <v>629</v>
      </c>
      <c r="B100" s="7">
        <v>143198</v>
      </c>
      <c r="D100">
        <f t="shared" si="1"/>
        <v>33</v>
      </c>
      <c r="G100" t="s">
        <v>630</v>
      </c>
    </row>
    <row r="101" spans="1:7" x14ac:dyDescent="0.2">
      <c r="A101" t="s">
        <v>631</v>
      </c>
      <c r="B101" s="7">
        <v>143224</v>
      </c>
      <c r="D101">
        <f t="shared" si="1"/>
        <v>7</v>
      </c>
      <c r="G101" t="s">
        <v>632</v>
      </c>
    </row>
    <row r="102" spans="1:7" x14ac:dyDescent="0.2">
      <c r="A102" t="s">
        <v>633</v>
      </c>
      <c r="B102" s="7">
        <v>143230</v>
      </c>
      <c r="D102">
        <f t="shared" si="1"/>
        <v>1</v>
      </c>
      <c r="G102" t="s">
        <v>634</v>
      </c>
    </row>
    <row r="103" spans="1:7" x14ac:dyDescent="0.2">
      <c r="A103" t="s">
        <v>635</v>
      </c>
      <c r="B103" s="7">
        <v>143235</v>
      </c>
      <c r="D103">
        <v>5</v>
      </c>
    </row>
    <row r="104" spans="1:7" x14ac:dyDescent="0.2">
      <c r="A104" t="s">
        <v>636</v>
      </c>
      <c r="B104" s="7">
        <v>143238</v>
      </c>
      <c r="D104">
        <v>8</v>
      </c>
    </row>
    <row r="105" spans="1:7" x14ac:dyDescent="0.2">
      <c r="A105" t="s">
        <v>637</v>
      </c>
      <c r="B105" s="7">
        <v>143252</v>
      </c>
      <c r="D105">
        <v>22</v>
      </c>
      <c r="G105" t="s">
        <v>638</v>
      </c>
    </row>
    <row r="106" spans="1:7" x14ac:dyDescent="0.2">
      <c r="A106" t="s">
        <v>639</v>
      </c>
      <c r="B106" s="8">
        <v>143254</v>
      </c>
      <c r="D106">
        <v>24</v>
      </c>
      <c r="G106" t="s">
        <v>640</v>
      </c>
    </row>
    <row r="107" spans="1:7" x14ac:dyDescent="0.2">
      <c r="A107" t="s">
        <v>641</v>
      </c>
      <c r="B107" s="7">
        <v>143255</v>
      </c>
      <c r="C107" t="s">
        <v>642</v>
      </c>
      <c r="D107">
        <v>25</v>
      </c>
    </row>
    <row r="108" spans="1:7" x14ac:dyDescent="0.2">
      <c r="A108" t="s">
        <v>643</v>
      </c>
      <c r="G108" t="s">
        <v>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4188-5DFB-2742-883A-5C3424BF4E0D}">
  <dimension ref="A1:E35"/>
  <sheetViews>
    <sheetView topLeftCell="A13" zoomScale="134" workbookViewId="0">
      <selection activeCell="D13" sqref="D13"/>
    </sheetView>
  </sheetViews>
  <sheetFormatPr baseColWidth="10" defaultRowHeight="16" x14ac:dyDescent="0.2"/>
  <sheetData>
    <row r="1" spans="1:4" x14ac:dyDescent="0.2">
      <c r="A1" t="s">
        <v>655</v>
      </c>
      <c r="B1" t="s">
        <v>656</v>
      </c>
      <c r="C1" t="s">
        <v>657</v>
      </c>
      <c r="D1" t="s">
        <v>693</v>
      </c>
    </row>
    <row r="2" spans="1:4" x14ac:dyDescent="0.2">
      <c r="A2" t="s">
        <v>658</v>
      </c>
      <c r="B2">
        <v>46</v>
      </c>
      <c r="C2" t="s">
        <v>692</v>
      </c>
    </row>
    <row r="3" spans="1:4" x14ac:dyDescent="0.2">
      <c r="A3" t="s">
        <v>659</v>
      </c>
      <c r="B3">
        <v>4</v>
      </c>
      <c r="C3">
        <v>4</v>
      </c>
    </row>
    <row r="4" spans="1:4" x14ac:dyDescent="0.2">
      <c r="A4" t="s">
        <v>660</v>
      </c>
      <c r="B4">
        <v>60</v>
      </c>
      <c r="C4">
        <v>6</v>
      </c>
    </row>
    <row r="5" spans="1:4" x14ac:dyDescent="0.2">
      <c r="A5" t="s">
        <v>661</v>
      </c>
      <c r="B5">
        <v>14</v>
      </c>
      <c r="C5">
        <v>14</v>
      </c>
    </row>
    <row r="6" spans="1:4" x14ac:dyDescent="0.2">
      <c r="A6" t="s">
        <v>662</v>
      </c>
      <c r="B6">
        <v>50</v>
      </c>
      <c r="C6">
        <v>50</v>
      </c>
    </row>
    <row r="7" spans="1:4" x14ac:dyDescent="0.2">
      <c r="A7" t="s">
        <v>663</v>
      </c>
      <c r="B7">
        <v>37</v>
      </c>
      <c r="C7">
        <v>37</v>
      </c>
    </row>
    <row r="8" spans="1:4" x14ac:dyDescent="0.2">
      <c r="A8" t="s">
        <v>664</v>
      </c>
      <c r="B8">
        <v>50</v>
      </c>
      <c r="C8">
        <v>32</v>
      </c>
    </row>
    <row r="9" spans="1:4" x14ac:dyDescent="0.2">
      <c r="A9" t="s">
        <v>690</v>
      </c>
      <c r="B9">
        <v>30</v>
      </c>
      <c r="C9">
        <v>30</v>
      </c>
      <c r="D9">
        <v>30</v>
      </c>
    </row>
    <row r="10" spans="1:4" x14ac:dyDescent="0.2">
      <c r="A10" t="s">
        <v>665</v>
      </c>
      <c r="B10">
        <v>2</v>
      </c>
      <c r="C10">
        <v>9</v>
      </c>
      <c r="D10">
        <v>10</v>
      </c>
    </row>
    <row r="11" spans="1:4" x14ac:dyDescent="0.2">
      <c r="A11" t="s">
        <v>666</v>
      </c>
      <c r="B11">
        <v>9</v>
      </c>
      <c r="C11">
        <v>9</v>
      </c>
      <c r="D11">
        <v>9</v>
      </c>
    </row>
    <row r="12" spans="1:4" x14ac:dyDescent="0.2">
      <c r="A12" t="s">
        <v>691</v>
      </c>
      <c r="B12">
        <v>11</v>
      </c>
      <c r="C12">
        <v>11</v>
      </c>
    </row>
    <row r="13" spans="1:4" x14ac:dyDescent="0.2">
      <c r="A13" t="s">
        <v>667</v>
      </c>
      <c r="B13">
        <v>27</v>
      </c>
      <c r="C13">
        <v>27</v>
      </c>
      <c r="D13" t="s">
        <v>694</v>
      </c>
    </row>
    <row r="14" spans="1:4" x14ac:dyDescent="0.2">
      <c r="A14" t="s">
        <v>668</v>
      </c>
      <c r="B14">
        <v>46</v>
      </c>
      <c r="C14">
        <v>46</v>
      </c>
      <c r="D14">
        <v>46</v>
      </c>
    </row>
    <row r="15" spans="1:4" x14ac:dyDescent="0.2">
      <c r="A15" t="s">
        <v>669</v>
      </c>
      <c r="B15">
        <v>11</v>
      </c>
      <c r="C15">
        <v>11</v>
      </c>
      <c r="D15">
        <v>11</v>
      </c>
    </row>
    <row r="16" spans="1:4" x14ac:dyDescent="0.2">
      <c r="A16" t="s">
        <v>670</v>
      </c>
      <c r="B16">
        <v>18</v>
      </c>
      <c r="C16">
        <v>18</v>
      </c>
      <c r="D16">
        <v>18</v>
      </c>
    </row>
    <row r="17" spans="1:5" x14ac:dyDescent="0.2">
      <c r="A17" t="s">
        <v>671</v>
      </c>
      <c r="B17">
        <v>32</v>
      </c>
      <c r="C17">
        <v>32</v>
      </c>
      <c r="D17">
        <v>32</v>
      </c>
    </row>
    <row r="18" spans="1:5" x14ac:dyDescent="0.2">
      <c r="A18" t="s">
        <v>672</v>
      </c>
      <c r="B18">
        <v>2</v>
      </c>
      <c r="C18">
        <v>2</v>
      </c>
      <c r="D18">
        <v>2</v>
      </c>
    </row>
    <row r="19" spans="1:5" x14ac:dyDescent="0.2">
      <c r="A19" t="s">
        <v>673</v>
      </c>
      <c r="B19">
        <v>33</v>
      </c>
      <c r="C19">
        <v>33</v>
      </c>
      <c r="D19">
        <v>33</v>
      </c>
    </row>
    <row r="20" spans="1:5" x14ac:dyDescent="0.2">
      <c r="A20" t="s">
        <v>674</v>
      </c>
      <c r="B20">
        <v>18</v>
      </c>
      <c r="C20">
        <v>18</v>
      </c>
      <c r="D20">
        <v>18</v>
      </c>
    </row>
    <row r="21" spans="1:5" x14ac:dyDescent="0.2">
      <c r="A21" t="s">
        <v>675</v>
      </c>
      <c r="B21">
        <v>18</v>
      </c>
      <c r="C21">
        <v>18</v>
      </c>
      <c r="D21">
        <v>18</v>
      </c>
    </row>
    <row r="22" spans="1:5" x14ac:dyDescent="0.2">
      <c r="A22" t="s">
        <v>676</v>
      </c>
      <c r="B22">
        <v>18</v>
      </c>
      <c r="C22">
        <v>18</v>
      </c>
      <c r="D22">
        <v>18</v>
      </c>
    </row>
    <row r="23" spans="1:5" x14ac:dyDescent="0.2">
      <c r="A23" t="s">
        <v>677</v>
      </c>
      <c r="B23">
        <v>31</v>
      </c>
      <c r="C23">
        <v>31</v>
      </c>
      <c r="D23">
        <v>31</v>
      </c>
    </row>
    <row r="24" spans="1:5" x14ac:dyDescent="0.2">
      <c r="A24" t="s">
        <v>678</v>
      </c>
      <c r="B24">
        <v>32</v>
      </c>
      <c r="C24">
        <v>32</v>
      </c>
      <c r="D24">
        <v>32</v>
      </c>
    </row>
    <row r="25" spans="1:5" x14ac:dyDescent="0.2">
      <c r="A25" t="s">
        <v>679</v>
      </c>
      <c r="B25">
        <v>15</v>
      </c>
      <c r="C25">
        <v>15</v>
      </c>
      <c r="D25">
        <v>15</v>
      </c>
    </row>
    <row r="26" spans="1:5" x14ac:dyDescent="0.2">
      <c r="A26" t="s">
        <v>680</v>
      </c>
      <c r="B26">
        <v>27</v>
      </c>
      <c r="C26">
        <v>27</v>
      </c>
      <c r="D26">
        <v>27</v>
      </c>
    </row>
    <row r="27" spans="1:5" x14ac:dyDescent="0.2">
      <c r="A27" t="s">
        <v>681</v>
      </c>
      <c r="B27">
        <v>37</v>
      </c>
      <c r="C27">
        <v>37</v>
      </c>
      <c r="D27">
        <v>37</v>
      </c>
    </row>
    <row r="28" spans="1:5" x14ac:dyDescent="0.2">
      <c r="A28" t="s">
        <v>682</v>
      </c>
      <c r="B28">
        <v>21</v>
      </c>
      <c r="C28">
        <v>21</v>
      </c>
      <c r="D28">
        <v>20</v>
      </c>
      <c r="E28" t="s">
        <v>695</v>
      </c>
    </row>
    <row r="29" spans="1:5" x14ac:dyDescent="0.2">
      <c r="A29" t="s">
        <v>683</v>
      </c>
      <c r="B29">
        <v>33</v>
      </c>
      <c r="C29">
        <v>33</v>
      </c>
      <c r="D29">
        <v>30</v>
      </c>
    </row>
    <row r="30" spans="1:5" x14ac:dyDescent="0.2">
      <c r="A30" t="s">
        <v>684</v>
      </c>
      <c r="B30">
        <v>22</v>
      </c>
      <c r="C30">
        <v>22</v>
      </c>
      <c r="D30">
        <v>23</v>
      </c>
      <c r="E30" t="s">
        <v>696</v>
      </c>
    </row>
    <row r="31" spans="1:5" x14ac:dyDescent="0.2">
      <c r="A31" t="s">
        <v>685</v>
      </c>
      <c r="B31">
        <v>9</v>
      </c>
      <c r="C31">
        <v>9</v>
      </c>
      <c r="D31">
        <v>8</v>
      </c>
      <c r="E31" t="s">
        <v>697</v>
      </c>
    </row>
    <row r="32" spans="1:5" x14ac:dyDescent="0.2">
      <c r="A32" t="s">
        <v>686</v>
      </c>
      <c r="B32">
        <v>29</v>
      </c>
      <c r="C32">
        <v>29</v>
      </c>
      <c r="D32">
        <v>28</v>
      </c>
      <c r="E32" t="s">
        <v>698</v>
      </c>
    </row>
    <row r="33" spans="1:5" x14ac:dyDescent="0.2">
      <c r="A33" t="s">
        <v>687</v>
      </c>
      <c r="B33">
        <v>20</v>
      </c>
      <c r="C33">
        <v>22</v>
      </c>
      <c r="D33">
        <v>18</v>
      </c>
      <c r="E33" t="s">
        <v>699</v>
      </c>
    </row>
    <row r="34" spans="1:5" x14ac:dyDescent="0.2">
      <c r="A34" t="s">
        <v>688</v>
      </c>
      <c r="B34">
        <v>23</v>
      </c>
      <c r="C34">
        <v>23</v>
      </c>
      <c r="D34">
        <v>22</v>
      </c>
      <c r="E34" t="s">
        <v>700</v>
      </c>
    </row>
    <row r="35" spans="1:5" x14ac:dyDescent="0.2">
      <c r="A35" t="s">
        <v>689</v>
      </c>
      <c r="B35">
        <v>24</v>
      </c>
      <c r="C35">
        <v>24</v>
      </c>
      <c r="D35">
        <v>23</v>
      </c>
      <c r="E35" t="s">
        <v>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DC2B-4D95-AC45-A84C-E5758629DAF3}">
  <dimension ref="A1:E63"/>
  <sheetViews>
    <sheetView topLeftCell="A26" zoomScale="110" workbookViewId="0">
      <selection activeCell="A45" sqref="A45:D51"/>
    </sheetView>
  </sheetViews>
  <sheetFormatPr baseColWidth="10" defaultRowHeight="16" x14ac:dyDescent="0.2"/>
  <cols>
    <col min="2" max="2" width="16.6640625" customWidth="1"/>
    <col min="3" max="3" width="20.1640625" customWidth="1"/>
  </cols>
  <sheetData>
    <row r="1" spans="1:4" x14ac:dyDescent="0.2">
      <c r="A1" t="s">
        <v>766</v>
      </c>
      <c r="B1" t="s">
        <v>488</v>
      </c>
      <c r="C1" t="s">
        <v>464</v>
      </c>
      <c r="D1" t="s">
        <v>767</v>
      </c>
    </row>
    <row r="2" spans="1:4" x14ac:dyDescent="0.2">
      <c r="A2">
        <v>24</v>
      </c>
      <c r="B2" t="s">
        <v>712</v>
      </c>
      <c r="C2" t="s">
        <v>713</v>
      </c>
      <c r="D2" t="s">
        <v>745</v>
      </c>
    </row>
    <row r="3" spans="1:4" x14ac:dyDescent="0.2">
      <c r="A3">
        <v>27</v>
      </c>
      <c r="B3" t="s">
        <v>714</v>
      </c>
      <c r="C3" t="s">
        <v>715</v>
      </c>
      <c r="D3" t="s">
        <v>746</v>
      </c>
    </row>
    <row r="4" spans="1:4" x14ac:dyDescent="0.2">
      <c r="A4">
        <v>28</v>
      </c>
      <c r="B4" t="s">
        <v>716</v>
      </c>
      <c r="C4" t="s">
        <v>750</v>
      </c>
      <c r="D4" t="s">
        <v>747</v>
      </c>
    </row>
    <row r="5" spans="1:4" x14ac:dyDescent="0.2">
      <c r="A5">
        <v>29</v>
      </c>
      <c r="B5" t="s">
        <v>717</v>
      </c>
      <c r="C5" t="s">
        <v>718</v>
      </c>
      <c r="D5" t="s">
        <v>748</v>
      </c>
    </row>
    <row r="6" spans="1:4" x14ac:dyDescent="0.2">
      <c r="A6">
        <v>42</v>
      </c>
      <c r="B6" t="s">
        <v>719</v>
      </c>
      <c r="C6" t="s">
        <v>720</v>
      </c>
      <c r="D6" t="s">
        <v>752</v>
      </c>
    </row>
    <row r="7" spans="1:4" x14ac:dyDescent="0.2">
      <c r="A7">
        <v>54</v>
      </c>
      <c r="B7" t="s">
        <v>721</v>
      </c>
      <c r="C7" t="s">
        <v>722</v>
      </c>
      <c r="D7" t="s">
        <v>751</v>
      </c>
    </row>
    <row r="8" spans="1:4" x14ac:dyDescent="0.2">
      <c r="A8">
        <v>55</v>
      </c>
      <c r="B8" t="s">
        <v>749</v>
      </c>
      <c r="C8" t="s">
        <v>69</v>
      </c>
      <c r="D8" t="s">
        <v>753</v>
      </c>
    </row>
    <row r="9" spans="1:4" x14ac:dyDescent="0.2">
      <c r="A9">
        <v>56</v>
      </c>
      <c r="B9" t="s">
        <v>723</v>
      </c>
      <c r="C9" t="s">
        <v>724</v>
      </c>
      <c r="D9" t="s">
        <v>754</v>
      </c>
    </row>
    <row r="10" spans="1:4" x14ac:dyDescent="0.2">
      <c r="A10">
        <v>59</v>
      </c>
      <c r="B10" t="s">
        <v>725</v>
      </c>
      <c r="C10" t="s">
        <v>726</v>
      </c>
      <c r="D10" t="s">
        <v>755</v>
      </c>
    </row>
    <row r="11" spans="1:4" x14ac:dyDescent="0.2">
      <c r="A11">
        <v>0</v>
      </c>
      <c r="B11" t="s">
        <v>727</v>
      </c>
      <c r="C11" t="s">
        <v>728</v>
      </c>
      <c r="D11" t="s">
        <v>756</v>
      </c>
    </row>
    <row r="12" spans="1:4" x14ac:dyDescent="0.2">
      <c r="A12">
        <v>25</v>
      </c>
      <c r="B12" t="s">
        <v>729</v>
      </c>
      <c r="C12" t="s">
        <v>75</v>
      </c>
      <c r="D12" t="s">
        <v>757</v>
      </c>
    </row>
    <row r="13" spans="1:4" x14ac:dyDescent="0.2">
      <c r="A13">
        <v>26</v>
      </c>
      <c r="B13" t="s">
        <v>730</v>
      </c>
      <c r="D13" t="s">
        <v>758</v>
      </c>
    </row>
    <row r="14" spans="1:4" x14ac:dyDescent="0.2">
      <c r="A14">
        <v>56</v>
      </c>
      <c r="B14" t="s">
        <v>731</v>
      </c>
      <c r="C14" t="s">
        <v>732</v>
      </c>
      <c r="D14" t="s">
        <v>759</v>
      </c>
    </row>
    <row r="15" spans="1:4" x14ac:dyDescent="0.2">
      <c r="A15">
        <v>25</v>
      </c>
      <c r="B15" t="s">
        <v>733</v>
      </c>
      <c r="C15" t="s">
        <v>734</v>
      </c>
      <c r="D15" t="s">
        <v>760</v>
      </c>
    </row>
    <row r="16" spans="1:4" x14ac:dyDescent="0.2">
      <c r="A16">
        <v>40</v>
      </c>
      <c r="B16" t="s">
        <v>735</v>
      </c>
      <c r="C16" t="s">
        <v>736</v>
      </c>
      <c r="D16" t="s">
        <v>761</v>
      </c>
    </row>
    <row r="17" spans="1:5" x14ac:dyDescent="0.2">
      <c r="A17">
        <v>41</v>
      </c>
      <c r="B17" t="s">
        <v>737</v>
      </c>
      <c r="C17" t="s">
        <v>738</v>
      </c>
      <c r="D17" t="s">
        <v>762</v>
      </c>
    </row>
    <row r="18" spans="1:5" x14ac:dyDescent="0.2">
      <c r="A18">
        <v>46</v>
      </c>
      <c r="B18" t="s">
        <v>739</v>
      </c>
      <c r="C18" t="s">
        <v>740</v>
      </c>
      <c r="D18" t="s">
        <v>764</v>
      </c>
    </row>
    <row r="19" spans="1:5" x14ac:dyDescent="0.2">
      <c r="A19">
        <v>47</v>
      </c>
      <c r="B19" t="s">
        <v>741</v>
      </c>
      <c r="C19" t="s">
        <v>742</v>
      </c>
      <c r="D19" t="s">
        <v>763</v>
      </c>
    </row>
    <row r="20" spans="1:5" x14ac:dyDescent="0.2">
      <c r="A20">
        <v>51</v>
      </c>
      <c r="B20" t="s">
        <v>743</v>
      </c>
      <c r="C20" t="s">
        <v>744</v>
      </c>
      <c r="D20" t="s">
        <v>765</v>
      </c>
    </row>
    <row r="22" spans="1:5" x14ac:dyDescent="0.2">
      <c r="A22" t="s">
        <v>494</v>
      </c>
      <c r="B22" t="s">
        <v>488</v>
      </c>
      <c r="C22" t="s">
        <v>783</v>
      </c>
      <c r="D22" t="s">
        <v>784</v>
      </c>
      <c r="E22" t="s">
        <v>785</v>
      </c>
    </row>
    <row r="23" spans="1:5" x14ac:dyDescent="0.2">
      <c r="A23" t="s">
        <v>782</v>
      </c>
      <c r="B23" t="s">
        <v>794</v>
      </c>
      <c r="C23">
        <v>142123</v>
      </c>
      <c r="D23">
        <v>2</v>
      </c>
      <c r="E23">
        <v>1</v>
      </c>
    </row>
    <row r="24" spans="1:5" x14ac:dyDescent="0.2">
      <c r="A24" t="s">
        <v>782</v>
      </c>
      <c r="B24" t="s">
        <v>798</v>
      </c>
      <c r="C24">
        <v>142123</v>
      </c>
      <c r="D24">
        <v>2</v>
      </c>
      <c r="E24">
        <v>16</v>
      </c>
    </row>
    <row r="25" spans="1:5" x14ac:dyDescent="0.2">
      <c r="A25" t="s">
        <v>782</v>
      </c>
      <c r="B25" t="s">
        <v>799</v>
      </c>
      <c r="C25">
        <v>142123</v>
      </c>
      <c r="D25">
        <v>2</v>
      </c>
      <c r="E25">
        <v>21</v>
      </c>
    </row>
    <row r="26" spans="1:5" x14ac:dyDescent="0.2">
      <c r="A26" t="s">
        <v>782</v>
      </c>
      <c r="B26" t="s">
        <v>800</v>
      </c>
      <c r="C26">
        <v>142123</v>
      </c>
      <c r="D26">
        <v>3</v>
      </c>
      <c r="E26">
        <v>1</v>
      </c>
    </row>
    <row r="27" spans="1:5" x14ac:dyDescent="0.2">
      <c r="A27" t="s">
        <v>782</v>
      </c>
      <c r="B27" t="s">
        <v>801</v>
      </c>
      <c r="C27">
        <v>142123</v>
      </c>
      <c r="D27">
        <v>3</v>
      </c>
      <c r="E27">
        <v>3</v>
      </c>
    </row>
    <row r="28" spans="1:5" x14ac:dyDescent="0.2">
      <c r="A28" t="s">
        <v>782</v>
      </c>
      <c r="B28" t="s">
        <v>790</v>
      </c>
      <c r="C28">
        <v>142123</v>
      </c>
      <c r="D28">
        <v>13</v>
      </c>
      <c r="E28">
        <v>29</v>
      </c>
    </row>
    <row r="29" spans="1:5" x14ac:dyDescent="0.2">
      <c r="A29" t="s">
        <v>486</v>
      </c>
      <c r="B29" t="s">
        <v>786</v>
      </c>
      <c r="C29">
        <v>142124</v>
      </c>
      <c r="D29">
        <v>1</v>
      </c>
      <c r="E29">
        <v>1</v>
      </c>
    </row>
    <row r="30" spans="1:5" x14ac:dyDescent="0.2">
      <c r="A30" t="s">
        <v>781</v>
      </c>
      <c r="B30" t="s">
        <v>787</v>
      </c>
      <c r="C30">
        <v>142153</v>
      </c>
      <c r="D30">
        <v>4</v>
      </c>
      <c r="E30">
        <v>1</v>
      </c>
    </row>
    <row r="31" spans="1:5" x14ac:dyDescent="0.2">
      <c r="A31" t="s">
        <v>781</v>
      </c>
      <c r="B31" t="s">
        <v>788</v>
      </c>
      <c r="C31">
        <v>142153</v>
      </c>
      <c r="D31">
        <v>4</v>
      </c>
      <c r="E31">
        <v>15</v>
      </c>
    </row>
    <row r="32" spans="1:5" x14ac:dyDescent="0.2">
      <c r="A32" t="s">
        <v>781</v>
      </c>
      <c r="B32" t="s">
        <v>789</v>
      </c>
      <c r="C32">
        <v>142153</v>
      </c>
      <c r="D32">
        <v>4</v>
      </c>
      <c r="E32">
        <v>16</v>
      </c>
    </row>
    <row r="33" spans="1:5" x14ac:dyDescent="0.2">
      <c r="A33" t="s">
        <v>491</v>
      </c>
      <c r="B33" t="s">
        <v>790</v>
      </c>
      <c r="C33">
        <v>142165</v>
      </c>
      <c r="D33">
        <v>6</v>
      </c>
      <c r="E33">
        <v>1</v>
      </c>
    </row>
    <row r="34" spans="1:5" x14ac:dyDescent="0.2">
      <c r="A34" t="s">
        <v>491</v>
      </c>
      <c r="B34" t="s">
        <v>791</v>
      </c>
      <c r="C34">
        <v>142165</v>
      </c>
      <c r="D34">
        <v>6</v>
      </c>
      <c r="E34">
        <v>3</v>
      </c>
    </row>
    <row r="35" spans="1:5" x14ac:dyDescent="0.2">
      <c r="A35" t="s">
        <v>472</v>
      </c>
      <c r="B35" t="s">
        <v>792</v>
      </c>
      <c r="C35">
        <v>142577</v>
      </c>
      <c r="D35">
        <v>8</v>
      </c>
      <c r="E35">
        <v>1</v>
      </c>
    </row>
    <row r="36" spans="1:5" x14ac:dyDescent="0.2">
      <c r="A36" t="s">
        <v>472</v>
      </c>
      <c r="B36" t="s">
        <v>793</v>
      </c>
      <c r="C36">
        <v>142577</v>
      </c>
      <c r="D36">
        <v>12</v>
      </c>
      <c r="E36">
        <v>3</v>
      </c>
    </row>
    <row r="37" spans="1:5" x14ac:dyDescent="0.2">
      <c r="A37" t="s">
        <v>768</v>
      </c>
      <c r="B37" t="s">
        <v>788</v>
      </c>
      <c r="C37">
        <v>142616</v>
      </c>
      <c r="D37">
        <v>3</v>
      </c>
      <c r="E37">
        <v>1</v>
      </c>
    </row>
    <row r="38" spans="1:5" x14ac:dyDescent="0.2">
      <c r="A38" t="s">
        <v>541</v>
      </c>
      <c r="B38" t="s">
        <v>794</v>
      </c>
      <c r="C38">
        <v>142686</v>
      </c>
      <c r="D38">
        <v>9</v>
      </c>
      <c r="E38">
        <v>1</v>
      </c>
    </row>
    <row r="39" spans="1:5" x14ac:dyDescent="0.2">
      <c r="A39" t="s">
        <v>543</v>
      </c>
      <c r="B39" t="s">
        <v>795</v>
      </c>
      <c r="C39">
        <v>142689</v>
      </c>
      <c r="D39">
        <v>2</v>
      </c>
      <c r="E39">
        <v>24</v>
      </c>
    </row>
    <row r="40" spans="1:5" x14ac:dyDescent="0.2">
      <c r="A40" t="s">
        <v>549</v>
      </c>
      <c r="B40" t="s">
        <v>793</v>
      </c>
      <c r="C40">
        <v>142708</v>
      </c>
      <c r="D40">
        <v>5</v>
      </c>
      <c r="E40">
        <v>1</v>
      </c>
    </row>
    <row r="41" spans="1:5" x14ac:dyDescent="0.2">
      <c r="A41" t="s">
        <v>549</v>
      </c>
      <c r="B41" t="s">
        <v>796</v>
      </c>
      <c r="C41">
        <v>142708</v>
      </c>
      <c r="D41">
        <v>5</v>
      </c>
      <c r="E41">
        <v>3</v>
      </c>
    </row>
    <row r="42" spans="1:5" x14ac:dyDescent="0.2">
      <c r="A42" t="s">
        <v>549</v>
      </c>
      <c r="B42" t="s">
        <v>797</v>
      </c>
      <c r="C42">
        <v>142708</v>
      </c>
      <c r="D42">
        <v>5</v>
      </c>
      <c r="E42">
        <v>7</v>
      </c>
    </row>
    <row r="45" spans="1:5" x14ac:dyDescent="0.2">
      <c r="A45" t="s">
        <v>774</v>
      </c>
      <c r="B45">
        <v>142109</v>
      </c>
      <c r="C45" t="s">
        <v>710</v>
      </c>
      <c r="D45" t="s">
        <v>770</v>
      </c>
    </row>
    <row r="46" spans="1:5" x14ac:dyDescent="0.2">
      <c r="A46" t="s">
        <v>774</v>
      </c>
      <c r="B46">
        <v>142109</v>
      </c>
      <c r="C46" t="s">
        <v>714</v>
      </c>
      <c r="D46" t="s">
        <v>771</v>
      </c>
    </row>
    <row r="47" spans="1:5" x14ac:dyDescent="0.2">
      <c r="A47" t="s">
        <v>774</v>
      </c>
      <c r="B47">
        <v>142109</v>
      </c>
      <c r="C47" t="s">
        <v>716</v>
      </c>
      <c r="D47" t="s">
        <v>772</v>
      </c>
    </row>
    <row r="48" spans="1:5" x14ac:dyDescent="0.2">
      <c r="A48" t="s">
        <v>774</v>
      </c>
      <c r="B48">
        <v>142109</v>
      </c>
      <c r="C48" t="s">
        <v>749</v>
      </c>
      <c r="D48" t="s">
        <v>773</v>
      </c>
    </row>
    <row r="49" spans="1:4" x14ac:dyDescent="0.2">
      <c r="A49" t="s">
        <v>472</v>
      </c>
      <c r="B49">
        <v>142577</v>
      </c>
      <c r="C49" t="s">
        <v>776</v>
      </c>
      <c r="D49" t="s">
        <v>775</v>
      </c>
    </row>
    <row r="50" spans="1:4" x14ac:dyDescent="0.2">
      <c r="A50" t="s">
        <v>549</v>
      </c>
      <c r="B50">
        <v>142708</v>
      </c>
      <c r="C50" t="s">
        <v>777</v>
      </c>
      <c r="D50" t="s">
        <v>778</v>
      </c>
    </row>
    <row r="51" spans="1:4" x14ac:dyDescent="0.2">
      <c r="A51" t="s">
        <v>560</v>
      </c>
      <c r="B51">
        <v>142749</v>
      </c>
      <c r="C51" t="s">
        <v>779</v>
      </c>
      <c r="D51" t="s">
        <v>780</v>
      </c>
    </row>
    <row r="55" spans="1:4" x14ac:dyDescent="0.2">
      <c r="A55" t="s">
        <v>750</v>
      </c>
      <c r="B55" t="s">
        <v>816</v>
      </c>
      <c r="C55" t="s">
        <v>802</v>
      </c>
    </row>
    <row r="56" spans="1:4" x14ac:dyDescent="0.2">
      <c r="A56" t="s">
        <v>803</v>
      </c>
      <c r="B56" t="s">
        <v>816</v>
      </c>
      <c r="C56" t="s">
        <v>804</v>
      </c>
    </row>
    <row r="57" spans="1:4" x14ac:dyDescent="0.2">
      <c r="A57" t="s">
        <v>805</v>
      </c>
      <c r="B57" t="s">
        <v>816</v>
      </c>
      <c r="C57" t="s">
        <v>806</v>
      </c>
    </row>
    <row r="58" spans="1:4" x14ac:dyDescent="0.2">
      <c r="A58" t="s">
        <v>807</v>
      </c>
      <c r="B58" t="s">
        <v>816</v>
      </c>
      <c r="C58" t="s">
        <v>808</v>
      </c>
    </row>
    <row r="59" spans="1:4" x14ac:dyDescent="0.2">
      <c r="A59" t="s">
        <v>809</v>
      </c>
      <c r="B59" t="s">
        <v>816</v>
      </c>
      <c r="C59" t="s">
        <v>810</v>
      </c>
    </row>
    <row r="60" spans="1:4" x14ac:dyDescent="0.2">
      <c r="A60" t="s">
        <v>807</v>
      </c>
      <c r="B60" t="s">
        <v>817</v>
      </c>
      <c r="C60" t="s">
        <v>811</v>
      </c>
    </row>
    <row r="61" spans="1:4" x14ac:dyDescent="0.2">
      <c r="A61" t="s">
        <v>812</v>
      </c>
      <c r="B61" t="s">
        <v>817</v>
      </c>
      <c r="C61" t="s">
        <v>813</v>
      </c>
    </row>
    <row r="62" spans="1:4" x14ac:dyDescent="0.2">
      <c r="A62" t="s">
        <v>814</v>
      </c>
      <c r="B62" t="s">
        <v>818</v>
      </c>
      <c r="C62" t="s">
        <v>815</v>
      </c>
    </row>
    <row r="63" spans="1:4" x14ac:dyDescent="0.2">
      <c r="A63" t="s">
        <v>812</v>
      </c>
      <c r="B63" t="s">
        <v>491</v>
      </c>
      <c r="C63" t="s">
        <v>819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739F-D9B4-4241-81A4-4D55DD4030D8}">
  <dimension ref="A1:F25"/>
  <sheetViews>
    <sheetView zoomScale="118" workbookViewId="0">
      <selection activeCell="C14" sqref="C14"/>
    </sheetView>
  </sheetViews>
  <sheetFormatPr baseColWidth="10" defaultRowHeight="16" x14ac:dyDescent="0.2"/>
  <sheetData>
    <row r="1" spans="1:6" x14ac:dyDescent="0.2">
      <c r="A1" t="s">
        <v>820</v>
      </c>
      <c r="B1" t="s">
        <v>259</v>
      </c>
      <c r="C1" t="s">
        <v>263</v>
      </c>
      <c r="D1" t="s">
        <v>260</v>
      </c>
      <c r="E1" t="s">
        <v>261</v>
      </c>
      <c r="F1" t="s">
        <v>262</v>
      </c>
    </row>
    <row r="2" spans="1:6" x14ac:dyDescent="0.2">
      <c r="A2" t="s">
        <v>278</v>
      </c>
      <c r="B2">
        <v>12</v>
      </c>
      <c r="C2">
        <v>16</v>
      </c>
      <c r="D2">
        <v>30</v>
      </c>
      <c r="E2">
        <v>64</v>
      </c>
      <c r="F2">
        <v>64</v>
      </c>
    </row>
    <row r="3" spans="1:6" x14ac:dyDescent="0.2">
      <c r="A3" t="s">
        <v>264</v>
      </c>
      <c r="B3">
        <v>1728</v>
      </c>
      <c r="C3">
        <v>3456</v>
      </c>
      <c r="D3">
        <v>4320</v>
      </c>
      <c r="E3">
        <v>13824</v>
      </c>
      <c r="F3">
        <v>9216</v>
      </c>
    </row>
    <row r="4" spans="1:6" x14ac:dyDescent="0.2">
      <c r="A4" t="s">
        <v>279</v>
      </c>
      <c r="B4">
        <v>20736</v>
      </c>
      <c r="C4">
        <v>41472</v>
      </c>
      <c r="D4">
        <v>51840</v>
      </c>
      <c r="E4">
        <v>165888</v>
      </c>
      <c r="F4">
        <v>110592</v>
      </c>
    </row>
    <row r="5" spans="1:6" x14ac:dyDescent="0.2">
      <c r="A5" t="s">
        <v>265</v>
      </c>
      <c r="B5">
        <v>13</v>
      </c>
      <c r="C5">
        <v>19</v>
      </c>
      <c r="D5">
        <v>12</v>
      </c>
      <c r="E5">
        <v>25</v>
      </c>
      <c r="F5">
        <v>3</v>
      </c>
    </row>
    <row r="6" spans="1:6" x14ac:dyDescent="0.2">
      <c r="A6" t="s">
        <v>266</v>
      </c>
      <c r="B6">
        <v>157</v>
      </c>
      <c r="C6">
        <v>413</v>
      </c>
      <c r="D6">
        <v>1740</v>
      </c>
      <c r="E6">
        <v>4163</v>
      </c>
      <c r="F6">
        <v>32469</v>
      </c>
    </row>
    <row r="7" spans="1:6" x14ac:dyDescent="0.2">
      <c r="A7" t="s">
        <v>267</v>
      </c>
      <c r="B7">
        <v>1583</v>
      </c>
      <c r="C7">
        <v>2161</v>
      </c>
      <c r="D7">
        <v>4175</v>
      </c>
      <c r="E7">
        <v>6469</v>
      </c>
      <c r="F7">
        <v>29041</v>
      </c>
    </row>
    <row r="8" spans="1:6" x14ac:dyDescent="0.2">
      <c r="A8" t="s">
        <v>268</v>
      </c>
      <c r="B8">
        <v>12096</v>
      </c>
      <c r="C8">
        <v>24192</v>
      </c>
      <c r="D8">
        <v>30240</v>
      </c>
      <c r="E8">
        <v>96768</v>
      </c>
      <c r="F8">
        <v>64512</v>
      </c>
    </row>
    <row r="9" spans="1:6" x14ac:dyDescent="0.2">
      <c r="A9" t="s">
        <v>269</v>
      </c>
      <c r="B9">
        <v>13</v>
      </c>
      <c r="C9">
        <v>19</v>
      </c>
      <c r="D9">
        <v>12</v>
      </c>
      <c r="E9">
        <v>26</v>
      </c>
      <c r="F9">
        <v>3</v>
      </c>
    </row>
    <row r="10" spans="1:6" x14ac:dyDescent="0.2">
      <c r="A10" t="s">
        <v>270</v>
      </c>
      <c r="B10">
        <v>15079</v>
      </c>
      <c r="C10">
        <v>32039</v>
      </c>
      <c r="D10">
        <v>63300</v>
      </c>
      <c r="E10">
        <v>52954</v>
      </c>
      <c r="F10">
        <v>510423</v>
      </c>
    </row>
    <row r="11" spans="1:6" x14ac:dyDescent="0.2">
      <c r="A11" t="s">
        <v>271</v>
      </c>
      <c r="B11">
        <v>30077</v>
      </c>
      <c r="C11">
        <v>41059</v>
      </c>
      <c r="D11">
        <v>79325</v>
      </c>
      <c r="E11" s="7">
        <v>122911</v>
      </c>
      <c r="F11">
        <v>551779</v>
      </c>
    </row>
    <row r="12" spans="1:6" x14ac:dyDescent="0.2">
      <c r="A12" t="s">
        <v>274</v>
      </c>
      <c r="C12">
        <v>23328</v>
      </c>
      <c r="F12">
        <v>62208</v>
      </c>
    </row>
    <row r="13" spans="1:6" x14ac:dyDescent="0.2">
      <c r="A13" t="s">
        <v>265</v>
      </c>
      <c r="C13">
        <v>10</v>
      </c>
      <c r="F13">
        <v>2</v>
      </c>
    </row>
    <row r="14" spans="1:6" x14ac:dyDescent="0.2">
      <c r="A14" t="s">
        <v>266</v>
      </c>
      <c r="C14" s="7">
        <v>1718</v>
      </c>
      <c r="F14">
        <v>4126</v>
      </c>
    </row>
    <row r="15" spans="1:6" x14ac:dyDescent="0.2">
      <c r="A15" t="s">
        <v>275</v>
      </c>
      <c r="C15">
        <v>18144</v>
      </c>
      <c r="F15">
        <v>48384</v>
      </c>
    </row>
    <row r="16" spans="1:6" x14ac:dyDescent="0.2">
      <c r="A16" t="s">
        <v>265</v>
      </c>
      <c r="C16">
        <v>8</v>
      </c>
      <c r="F16">
        <v>1</v>
      </c>
    </row>
    <row r="17" spans="1:6" x14ac:dyDescent="0.2">
      <c r="A17" t="s">
        <v>266</v>
      </c>
      <c r="C17">
        <v>856</v>
      </c>
      <c r="F17">
        <v>19343</v>
      </c>
    </row>
    <row r="18" spans="1:6" x14ac:dyDescent="0.2">
      <c r="A18" t="s">
        <v>276</v>
      </c>
      <c r="C18">
        <v>13068</v>
      </c>
      <c r="F18">
        <v>36288</v>
      </c>
    </row>
    <row r="19" spans="1:6" x14ac:dyDescent="0.2">
      <c r="A19" t="s">
        <v>269</v>
      </c>
      <c r="C19">
        <v>11</v>
      </c>
      <c r="F19">
        <v>2</v>
      </c>
    </row>
    <row r="20" spans="1:6" x14ac:dyDescent="0.2">
      <c r="A20" t="s">
        <v>270</v>
      </c>
      <c r="C20">
        <v>5191</v>
      </c>
      <c r="F20">
        <v>114682</v>
      </c>
    </row>
    <row r="21" spans="1:6" x14ac:dyDescent="0.2">
      <c r="A21" t="s">
        <v>277</v>
      </c>
      <c r="C21">
        <v>10584</v>
      </c>
      <c r="F21">
        <v>28224</v>
      </c>
    </row>
    <row r="22" spans="1:6" x14ac:dyDescent="0.2">
      <c r="A22" t="s">
        <v>269</v>
      </c>
      <c r="C22">
        <v>8</v>
      </c>
      <c r="F22">
        <v>1</v>
      </c>
    </row>
    <row r="23" spans="1:6" x14ac:dyDescent="0.2">
      <c r="A23" t="s">
        <v>270</v>
      </c>
      <c r="C23">
        <v>26848</v>
      </c>
      <c r="F23">
        <v>395741</v>
      </c>
    </row>
    <row r="24" spans="1:6" x14ac:dyDescent="0.2">
      <c r="A24" t="s">
        <v>272</v>
      </c>
      <c r="B24">
        <v>7308711</v>
      </c>
      <c r="C24">
        <v>9977337</v>
      </c>
      <c r="D24">
        <v>19275975</v>
      </c>
      <c r="E24">
        <v>29867373</v>
      </c>
      <c r="F24">
        <v>134082297</v>
      </c>
    </row>
    <row r="25" spans="1:6" x14ac:dyDescent="0.2">
      <c r="A25" t="s">
        <v>273</v>
      </c>
      <c r="B25">
        <v>2436237</v>
      </c>
      <c r="C25">
        <v>3325779</v>
      </c>
      <c r="D25">
        <v>6425325</v>
      </c>
      <c r="E25">
        <v>9955791</v>
      </c>
      <c r="F25">
        <v>44694099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淳宇 葛</dc:creator>
  <cp:lastModifiedBy>淳宇 葛</cp:lastModifiedBy>
  <dcterms:created xsi:type="dcterms:W3CDTF">2025-12-14T04:28:59Z</dcterms:created>
  <dcterms:modified xsi:type="dcterms:W3CDTF">2026-01-11T01:20:37Z</dcterms:modified>
</cp:coreProperties>
</file>